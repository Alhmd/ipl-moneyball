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 activeTab="5"/>
  </bookViews>
  <sheets>
    <sheet name="2025" sheetId="1" r:id="rId1"/>
    <sheet name="2024" sheetId="2" r:id="rId2"/>
    <sheet name="2023" sheetId="3" r:id="rId3"/>
    <sheet name="2022" sheetId="4" r:id="rId4"/>
    <sheet name="master" sheetId="5" r:id="rId5"/>
    <sheet name="final" sheetId="7" r:id="rId6"/>
  </sheets>
  <definedNames>
    <definedName name="_xlnm._FilterDatabase" localSheetId="0" hidden="1">'2025'!$B$1:$F$183</definedName>
  </definedNames>
  <calcPr calcId="144525"/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2" i="5"/>
  <c r="H2" i="5"/>
  <c r="H3" i="5"/>
  <c r="H4" i="5"/>
  <c r="H5" i="5"/>
  <c r="H6" i="5"/>
  <c r="H7" i="5"/>
  <c r="H8" i="5"/>
  <c r="H9" i="5"/>
  <c r="H10" i="5"/>
  <c r="H11" i="5"/>
  <c r="H12" i="5"/>
  <c r="H13" i="5"/>
  <c r="I13" i="5" s="1"/>
  <c r="H14" i="5"/>
  <c r="H15" i="5"/>
  <c r="I15" i="5" s="1"/>
  <c r="H16" i="5"/>
  <c r="H17" i="5"/>
  <c r="H18" i="5"/>
  <c r="H19" i="5"/>
  <c r="H20" i="5"/>
  <c r="H21" i="5"/>
  <c r="H22" i="5"/>
  <c r="H23" i="5"/>
  <c r="H24" i="5"/>
  <c r="H25" i="5"/>
  <c r="I25" i="5" s="1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I182" i="5" s="1"/>
  <c r="H183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3" i="5"/>
  <c r="I23" i="5"/>
  <c r="I24" i="5"/>
  <c r="I26" i="5"/>
  <c r="I27" i="5"/>
  <c r="I28" i="5"/>
  <c r="I29" i="5"/>
  <c r="I30" i="5"/>
  <c r="I31" i="5"/>
  <c r="I16" i="5"/>
  <c r="I17" i="5"/>
  <c r="I18" i="5"/>
  <c r="I19" i="5"/>
  <c r="I20" i="5"/>
  <c r="I21" i="5"/>
  <c r="I22" i="5"/>
  <c r="I10" i="5"/>
  <c r="I11" i="5"/>
  <c r="I12" i="5"/>
  <c r="I14" i="5"/>
  <c r="I6" i="5"/>
  <c r="I7" i="5"/>
  <c r="I8" i="5"/>
  <c r="I9" i="5"/>
  <c r="I3" i="5"/>
  <c r="I4" i="5"/>
  <c r="I5" i="5"/>
  <c r="I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2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9" i="5"/>
  <c r="C10" i="5"/>
  <c r="C11" i="5"/>
  <c r="C12" i="5"/>
  <c r="C13" i="5"/>
  <c r="C14" i="5"/>
  <c r="C15" i="5"/>
  <c r="C16" i="5"/>
  <c r="C6" i="5"/>
  <c r="C7" i="5"/>
  <c r="C8" i="5"/>
  <c r="C3" i="5"/>
  <c r="C4" i="5"/>
  <c r="C5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2" i="5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2" i="1"/>
</calcChain>
</file>

<file path=xl/sharedStrings.xml><?xml version="1.0" encoding="utf-8"?>
<sst xmlns="http://schemas.openxmlformats.org/spreadsheetml/2006/main" count="2929" uniqueCount="415">
  <si>
    <t>Noor Ahmad</t>
  </si>
  <si>
    <t>Capped</t>
  </si>
  <si>
    <t>Chennai Super Kings</t>
  </si>
  <si>
    <t>Ravichandaran Ashwin</t>
  </si>
  <si>
    <t>Devon Conway</t>
  </si>
  <si>
    <t>Syed Khaleel Ahmed</t>
  </si>
  <si>
    <t>Rachin Ravindra</t>
  </si>
  <si>
    <t>Anshul Kamboj</t>
  </si>
  <si>
    <t>Uncapped</t>
  </si>
  <si>
    <t>Rahul Tripathi</t>
  </si>
  <si>
    <t>Sam Curran</t>
  </si>
  <si>
    <t>Gurjapneet Singh</t>
  </si>
  <si>
    <t>Nathan Ellis</t>
  </si>
  <si>
    <t>Deepak Hooda</t>
  </si>
  <si>
    <t>Jamie Overton</t>
  </si>
  <si>
    <t>Vijay Shankar</t>
  </si>
  <si>
    <t>Vansh Bedi</t>
  </si>
  <si>
    <t>Andre Siddarth</t>
  </si>
  <si>
    <t>Shreyas Gopal</t>
  </si>
  <si>
    <t>Ramakrishna Ghosh</t>
  </si>
  <si>
    <t>Kamlesh Nagarkoti</t>
  </si>
  <si>
    <t>Mukesh Choudhary</t>
  </si>
  <si>
    <t>Shaik Rasheed</t>
  </si>
  <si>
    <t>KL Rahul</t>
  </si>
  <si>
    <t>Delhi Capitals</t>
  </si>
  <si>
    <t>Mitchell Starc</t>
  </si>
  <si>
    <t>T. Natarajan</t>
  </si>
  <si>
    <t>Jake Fraser-Mcgurk</t>
  </si>
  <si>
    <t>Mukesh Kumar</t>
  </si>
  <si>
    <t>Harry Brook</t>
  </si>
  <si>
    <t>Ashutosh Sharma</t>
  </si>
  <si>
    <t>Mohit Sharma</t>
  </si>
  <si>
    <t>Faf Du Plessis</t>
  </si>
  <si>
    <t>Sameer Rizvi</t>
  </si>
  <si>
    <t>Donovan Ferreira</t>
  </si>
  <si>
    <t>Dushmantha Chameera</t>
  </si>
  <si>
    <t>Vipraj Nigam</t>
  </si>
  <si>
    <t>Karun Nair</t>
  </si>
  <si>
    <t>Madhav Tiwari</t>
  </si>
  <si>
    <t>Tripurana Vijay</t>
  </si>
  <si>
    <t>Manvanth Kumar L</t>
  </si>
  <si>
    <t>Ajay Mandal</t>
  </si>
  <si>
    <t>Darshan Nalkande</t>
  </si>
  <si>
    <t>Jos Buttler</t>
  </si>
  <si>
    <t>Gujarat Titans</t>
  </si>
  <si>
    <t>Mohammad Siraj</t>
  </si>
  <si>
    <t>Kagiso Rabada</t>
  </si>
  <si>
    <t>Prasidh Krishna</t>
  </si>
  <si>
    <t>Washington Sundar</t>
  </si>
  <si>
    <t>Sherfane Rutherford</t>
  </si>
  <si>
    <t>Gerald Coetzee</t>
  </si>
  <si>
    <t>Glenn Phillips</t>
  </si>
  <si>
    <t>R. Sai Kishore</t>
  </si>
  <si>
    <t>Mahipal Lomror</t>
  </si>
  <si>
    <t>Gurnoor Singh Brar</t>
  </si>
  <si>
    <t>Mohd. Arshad Khan</t>
  </si>
  <si>
    <t>Karim Janat</t>
  </si>
  <si>
    <t>Jayant Yadav</t>
  </si>
  <si>
    <t>Ishant Sharma</t>
  </si>
  <si>
    <t>Kumar Kushagra</t>
  </si>
  <si>
    <t>Kulwant Khejroliya</t>
  </si>
  <si>
    <t>Manav Suthar</t>
  </si>
  <si>
    <t>Anuj Rawat</t>
  </si>
  <si>
    <t>Nishant Sindhu</t>
  </si>
  <si>
    <t>Venkatesh Iyer</t>
  </si>
  <si>
    <t>Kolkata Knight Riders</t>
  </si>
  <si>
    <t>Anrich Nortje</t>
  </si>
  <si>
    <t>Quinton De Kock</t>
  </si>
  <si>
    <t>Angkrish Raghuvanshi</t>
  </si>
  <si>
    <t>Spencer Johnson</t>
  </si>
  <si>
    <t>Moeen Ali</t>
  </si>
  <si>
    <t>Rahmanullah Gurbaz</t>
  </si>
  <si>
    <t>Vaibhav Arora</t>
  </si>
  <si>
    <t>Ajinkya Rahane</t>
  </si>
  <si>
    <t>Rovman Powell</t>
  </si>
  <si>
    <t>Umran Malik</t>
  </si>
  <si>
    <t>Manish Pandey</t>
  </si>
  <si>
    <t>Anukul Roy</t>
  </si>
  <si>
    <t>Luvnith Sisodia</t>
  </si>
  <si>
    <t>Mayank Markande</t>
  </si>
  <si>
    <t>Rishabh Pant</t>
  </si>
  <si>
    <t>Lucknow Super Giants</t>
  </si>
  <si>
    <t>Avesh Khan</t>
  </si>
  <si>
    <t>Akash Deep</t>
  </si>
  <si>
    <t>David Miller</t>
  </si>
  <si>
    <t>Abdul Samad</t>
  </si>
  <si>
    <t>Mitchell Marsh</t>
  </si>
  <si>
    <t>Shahbaz Ahamad</t>
  </si>
  <si>
    <t>Aiden Markram</t>
  </si>
  <si>
    <t>Matthew Breetzke</t>
  </si>
  <si>
    <t>Shamar Joseph</t>
  </si>
  <si>
    <t>M. Siddharth</t>
  </si>
  <si>
    <t>Arshin Kulkarni</t>
  </si>
  <si>
    <t>Rajvardhan Hangargekar</t>
  </si>
  <si>
    <t>Yuvraj Chaudhary</t>
  </si>
  <si>
    <t>Prince Yadav</t>
  </si>
  <si>
    <t>Akash Singh</t>
  </si>
  <si>
    <t>Digvesh Singh</t>
  </si>
  <si>
    <t>Himmat Singh</t>
  </si>
  <si>
    <t>Aryan Juyal</t>
  </si>
  <si>
    <t>Trent Boult</t>
  </si>
  <si>
    <t>Mumbai Indians</t>
  </si>
  <si>
    <t>Deepak Chahar</t>
  </si>
  <si>
    <t>Will Jacks</t>
  </si>
  <si>
    <t>Naman Dhir</t>
  </si>
  <si>
    <t>Allah Ghazanfar</t>
  </si>
  <si>
    <t>Mitchell Santner</t>
  </si>
  <si>
    <t>Ryan Rickelton</t>
  </si>
  <si>
    <t>Lizaad Williams</t>
  </si>
  <si>
    <t>Reece Topley</t>
  </si>
  <si>
    <t>Robin Minz</t>
  </si>
  <si>
    <t>Karn Sharma</t>
  </si>
  <si>
    <t>Vignesh Puthur</t>
  </si>
  <si>
    <t>Arjun Tendulkar</t>
  </si>
  <si>
    <t>Bevan John Jacobs</t>
  </si>
  <si>
    <t>Venkata Satyanarayana Penmetsa</t>
  </si>
  <si>
    <t>Raj Angad Bawa</t>
  </si>
  <si>
    <t>Shrijith Krishnan</t>
  </si>
  <si>
    <t>Ashwani Kumar</t>
  </si>
  <si>
    <t>Shreyas Iyer</t>
  </si>
  <si>
    <t>Punjab Kings</t>
  </si>
  <si>
    <t>Yuzvendra Chahal</t>
  </si>
  <si>
    <t>Arshdeep Singh</t>
  </si>
  <si>
    <t>Marcus Stoinis</t>
  </si>
  <si>
    <t>Marco Jansen</t>
  </si>
  <si>
    <t>Nehal Wadhera</t>
  </si>
  <si>
    <t>Glenn Maxwell</t>
  </si>
  <si>
    <t>Priyansh Arya</t>
  </si>
  <si>
    <t>Josh Inglis</t>
  </si>
  <si>
    <t>Azmatullah Omarzai</t>
  </si>
  <si>
    <t>Lockie Ferguson</t>
  </si>
  <si>
    <t>Vyshak Vijaykumar</t>
  </si>
  <si>
    <t>Yash Thakur</t>
  </si>
  <si>
    <t>Harpreet Brar</t>
  </si>
  <si>
    <t>Aaron Hardie</t>
  </si>
  <si>
    <t>Vishnu Vinod</t>
  </si>
  <si>
    <t>Xavier Bartlett</t>
  </si>
  <si>
    <t>Kuldeep Sen</t>
  </si>
  <si>
    <t>Pravin Dubey</t>
  </si>
  <si>
    <t>Pyla Avinash</t>
  </si>
  <si>
    <t>Suryansh Shedge</t>
  </si>
  <si>
    <t>Musheer Khan</t>
  </si>
  <si>
    <t>Harnoor Pannu</t>
  </si>
  <si>
    <t>Jofra Archer</t>
  </si>
  <si>
    <t>Rajasthan Royals</t>
  </si>
  <si>
    <t>Tushar Deshpande</t>
  </si>
  <si>
    <t>Wanindu Hasaranga</t>
  </si>
  <si>
    <t>Maheesh Theekshana</t>
  </si>
  <si>
    <t>Nitish Rana</t>
  </si>
  <si>
    <t>Fazalhaq Farooqi</t>
  </si>
  <si>
    <t>Kwena Maphaka</t>
  </si>
  <si>
    <t>Akash Madhwal</t>
  </si>
  <si>
    <t>Vaibhav Suryavanshi</t>
  </si>
  <si>
    <t>Shubham Dubey</t>
  </si>
  <si>
    <t>Yudhvir Charak</t>
  </si>
  <si>
    <t>Ashok Sharma</t>
  </si>
  <si>
    <t>Kunal Rathore</t>
  </si>
  <si>
    <t>Kumar Kartikeya Singh</t>
  </si>
  <si>
    <t>Josh Hazlewood</t>
  </si>
  <si>
    <t>Royal Challengers Bengaluru</t>
  </si>
  <si>
    <t>Phil Salt</t>
  </si>
  <si>
    <t>Jitesh Sharma</t>
  </si>
  <si>
    <t>Bhuvneshwar Kumar</t>
  </si>
  <si>
    <t>Liam Livingstone</t>
  </si>
  <si>
    <t>Rasikh Dar</t>
  </si>
  <si>
    <t>Krunal Pandya</t>
  </si>
  <si>
    <t>Tim David</t>
  </si>
  <si>
    <t>Jacob Bethell</t>
  </si>
  <si>
    <t>Suyash Sharma</t>
  </si>
  <si>
    <t>Devdutt Padikkal</t>
  </si>
  <si>
    <t>Nuwan Thushara</t>
  </si>
  <si>
    <t>Romario Shepherd</t>
  </si>
  <si>
    <t>Lungisani Ngidi</t>
  </si>
  <si>
    <t>Swapnil Singh</t>
  </si>
  <si>
    <t>Mohit Rathee</t>
  </si>
  <si>
    <t>Abhinandan Singh</t>
  </si>
  <si>
    <t>Swastik Chhikara</t>
  </si>
  <si>
    <t>Manoj Bhandage</t>
  </si>
  <si>
    <t>Ishan Kishan</t>
  </si>
  <si>
    <t>Sunrisers Hyderabad</t>
  </si>
  <si>
    <t>Mohammad Shami</t>
  </si>
  <si>
    <t>Harshal Patel</t>
  </si>
  <si>
    <t>Abhinav Manohar</t>
  </si>
  <si>
    <t>Rahul Chahar</t>
  </si>
  <si>
    <t>Adam Zampa</t>
  </si>
  <si>
    <t>Simarjeet Singh</t>
  </si>
  <si>
    <t>Eshan Malinga</t>
  </si>
  <si>
    <t>Brydon Carse</t>
  </si>
  <si>
    <t>Jaydev Unadkat</t>
  </si>
  <si>
    <t>Kamindu Mendis</t>
  </si>
  <si>
    <t>Zeeshan Ansari</t>
  </si>
  <si>
    <t>Sachin Baby</t>
  </si>
  <si>
    <t>Aniket Verma</t>
  </si>
  <si>
    <t>Atharva Taide</t>
  </si>
  <si>
    <t>players_name</t>
  </si>
  <si>
    <t>Base_price</t>
  </si>
  <si>
    <t>winning_bid</t>
  </si>
  <si>
    <t>cap_uncap</t>
  </si>
  <si>
    <t>team_name</t>
  </si>
  <si>
    <t>winning_bid(laks)</t>
  </si>
  <si>
    <t>s_no</t>
  </si>
  <si>
    <t>base_price(laks)</t>
  </si>
  <si>
    <t>sr_no</t>
  </si>
  <si>
    <t>Player_name</t>
  </si>
  <si>
    <t>Nationality</t>
  </si>
  <si>
    <t>Type</t>
  </si>
  <si>
    <t>price_paid</t>
  </si>
  <si>
    <t>price_paid(laks)</t>
  </si>
  <si>
    <t>Avanish Rao Aravelly</t>
  </si>
  <si>
    <t>Indian</t>
  </si>
  <si>
    <t>Wicket-Keeper</t>
  </si>
  <si>
    <t>Mustafizur Rahman</t>
  </si>
  <si>
    <t>Overseas</t>
  </si>
  <si>
    <t>Bowler</t>
  </si>
  <si>
    <t>Daryl Mitchell</t>
  </si>
  <si>
    <t>All-Rounder</t>
  </si>
  <si>
    <t>Batter</t>
  </si>
  <si>
    <t>Shardul Thakur</t>
  </si>
  <si>
    <t>Ricky Bhui</t>
  </si>
  <si>
    <t>Sumit Kumar</t>
  </si>
  <si>
    <t>Jhye Richardson</t>
  </si>
  <si>
    <t>Shai Hope</t>
  </si>
  <si>
    <t>Tristan Stubbs</t>
  </si>
  <si>
    <t>Kartik Tyagi</t>
  </si>
  <si>
    <t>Sushant Mishra</t>
  </si>
  <si>
    <t>Shahrukh Khan</t>
  </si>
  <si>
    <t>Umesh Yadav</t>
  </si>
  <si>
    <t>Mujeeb Rahman</t>
  </si>
  <si>
    <t>Gus Atkinson</t>
  </si>
  <si>
    <t>Ramandeep Singh</t>
  </si>
  <si>
    <t>K.S. Bharat</t>
  </si>
  <si>
    <t>Chetan Sakariya</t>
  </si>
  <si>
    <t>Sakib Hussain</t>
  </si>
  <si>
    <t>Ashton Turner</t>
  </si>
  <si>
    <t>David Willey</t>
  </si>
  <si>
    <t>Shivam Mavi</t>
  </si>
  <si>
    <t>Dilshan Madushanka</t>
  </si>
  <si>
    <t>Shivalik Sharma</t>
  </si>
  <si>
    <t>Mohammad Nabi</t>
  </si>
  <si>
    <t>Chris Woakes</t>
  </si>
  <si>
    <t>Tanay Thyagarajann</t>
  </si>
  <si>
    <t>Vishwanath Pratap Singh</t>
  </si>
  <si>
    <t>Shashank Singh</t>
  </si>
  <si>
    <t>Rilee Rossouw</t>
  </si>
  <si>
    <t>Prince Choudhary</t>
  </si>
  <si>
    <t>Abid Mushtaq</t>
  </si>
  <si>
    <t>Nandre Burger</t>
  </si>
  <si>
    <t>Tom Kohler-Cadmore</t>
  </si>
  <si>
    <t>Tom Curran</t>
  </si>
  <si>
    <t>Saurav Chuahan</t>
  </si>
  <si>
    <t>Alzarri Joseph</t>
  </si>
  <si>
    <t>Yash Dayal</t>
  </si>
  <si>
    <t>Jhathavedh Subramanyan</t>
  </si>
  <si>
    <t>Pat Cummins</t>
  </si>
  <si>
    <t>Travis Head</t>
  </si>
  <si>
    <t>Ben Stokes</t>
  </si>
  <si>
    <t>Kyle Jamieson</t>
  </si>
  <si>
    <t>Bhagath Varma</t>
  </si>
  <si>
    <t>Joshua Little</t>
  </si>
  <si>
    <t>Kane Williamson</t>
  </si>
  <si>
    <t>Odean Smith</t>
  </si>
  <si>
    <t>Urvil Patel</t>
  </si>
  <si>
    <t>Shakib Al Hasan</t>
  </si>
  <si>
    <t>David Wiese</t>
  </si>
  <si>
    <t>N. Jagadeesan</t>
  </si>
  <si>
    <t>Mandeep Singh</t>
  </si>
  <si>
    <t>Litton Das</t>
  </si>
  <si>
    <t>Nicholas Pooran</t>
  </si>
  <si>
    <t>Daniel Sams</t>
  </si>
  <si>
    <t>Amit Mishra</t>
  </si>
  <si>
    <t>Naveen Ul Haq</t>
  </si>
  <si>
    <t>Prerak Mankad</t>
  </si>
  <si>
    <t>Cameron Green</t>
  </si>
  <si>
    <t>Piyush Chawla</t>
  </si>
  <si>
    <t>Raghav Goyal</t>
  </si>
  <si>
    <t>Duan Jansen</t>
  </si>
  <si>
    <t>Shams Mulani</t>
  </si>
  <si>
    <t>Sikandar Raza</t>
  </si>
  <si>
    <t>Harpreet Bhatia</t>
  </si>
  <si>
    <t>Shivam Singh</t>
  </si>
  <si>
    <t>Vidwath Kaverappa</t>
  </si>
  <si>
    <t>Jason Holder</t>
  </si>
  <si>
    <t>Joe Root</t>
  </si>
  <si>
    <t>K.M. Asif</t>
  </si>
  <si>
    <t>Abdul P A</t>
  </si>
  <si>
    <t>Akash Vashisht</t>
  </si>
  <si>
    <t>Murugan Ashwin</t>
  </si>
  <si>
    <t>Royal Challengers Bangalore</t>
  </si>
  <si>
    <t>Rajan Kumar</t>
  </si>
  <si>
    <t>Avinash Singh</t>
  </si>
  <si>
    <t>Sonu Yadav</t>
  </si>
  <si>
    <t>Himanshu Sharma</t>
  </si>
  <si>
    <t>Mayank Agarwal</t>
  </si>
  <si>
    <t>Heinrich Klaasen</t>
  </si>
  <si>
    <t>Vivrant Sharma</t>
  </si>
  <si>
    <t>Adil Rashid</t>
  </si>
  <si>
    <t>Mayank Dagar</t>
  </si>
  <si>
    <t>Akeal Hosein</t>
  </si>
  <si>
    <t>Upendra Singh Yadav</t>
  </si>
  <si>
    <t>Sanvir Singh</t>
  </si>
  <si>
    <t>Anmolpreet Singh</t>
  </si>
  <si>
    <t>Samarth Vyas</t>
  </si>
  <si>
    <t>Nitish Kumar Reddy</t>
  </si>
  <si>
    <t>Ambati Rayudu</t>
  </si>
  <si>
    <t>Wicket Keeper</t>
  </si>
  <si>
    <t>Dwayne Bravo</t>
  </si>
  <si>
    <t>Shivam Dube</t>
  </si>
  <si>
    <t>Chris Jordan</t>
  </si>
  <si>
    <t>Robin Uthappa</t>
  </si>
  <si>
    <t>Batsman</t>
  </si>
  <si>
    <t>Adam Milne</t>
  </si>
  <si>
    <t>Prashant Solanki</t>
  </si>
  <si>
    <t>Dwaine Pretorius</t>
  </si>
  <si>
    <t>C.Hari Nishaanth</t>
  </si>
  <si>
    <t>Subhranshu Senapati</t>
  </si>
  <si>
    <t>K.Bhagath Varma</t>
  </si>
  <si>
    <t>David Warner</t>
  </si>
  <si>
    <t>Kuldeep Yadav</t>
  </si>
  <si>
    <t>Lalit Yadav</t>
  </si>
  <si>
    <t>Yash Dhull</t>
  </si>
  <si>
    <t>Tim Seifert</t>
  </si>
  <si>
    <t>Ashwin Hebbar</t>
  </si>
  <si>
    <t>Sarfaraz Khan</t>
  </si>
  <si>
    <t>Vicky Ostwal</t>
  </si>
  <si>
    <t>Ripal Patel</t>
  </si>
  <si>
    <t>Rahul Tewatia</t>
  </si>
  <si>
    <t>Abhinav Sadarangani</t>
  </si>
  <si>
    <t>Matthew Wade</t>
  </si>
  <si>
    <t>Jason Roy</t>
  </si>
  <si>
    <t>Wriddhiman Saha</t>
  </si>
  <si>
    <t>Dominic Drakes</t>
  </si>
  <si>
    <t>Gurkeerat Singh</t>
  </si>
  <si>
    <t>Varun Aaron</t>
  </si>
  <si>
    <t>B. Sai Sudharsan</t>
  </si>
  <si>
    <t>Pradeep Sangwan</t>
  </si>
  <si>
    <t>Sam Billings</t>
  </si>
  <si>
    <t>Alex Hales</t>
  </si>
  <si>
    <t>Tim Southee</t>
  </si>
  <si>
    <t>Sheldon Jackson</t>
  </si>
  <si>
    <t>Rinku Singh</t>
  </si>
  <si>
    <t>Chamika Karunaratne</t>
  </si>
  <si>
    <t>Abhijeet Tomar</t>
  </si>
  <si>
    <t>Baba Indrajith</t>
  </si>
  <si>
    <t>Aman Khan</t>
  </si>
  <si>
    <t>Ramesh Kumar</t>
  </si>
  <si>
    <t>Pratham Singh</t>
  </si>
  <si>
    <t>Mark Wood</t>
  </si>
  <si>
    <t>Dushmanta Chameera</t>
  </si>
  <si>
    <t>Evin Lewis</t>
  </si>
  <si>
    <t>K. Gowtham</t>
  </si>
  <si>
    <t>Ankit Singh Rajpoot</t>
  </si>
  <si>
    <t>Shahbaz Nadeem</t>
  </si>
  <si>
    <t>Kyle Mayers</t>
  </si>
  <si>
    <t>Manan Vohra</t>
  </si>
  <si>
    <t>Mohsin Khan</t>
  </si>
  <si>
    <t>Mayank Yadav</t>
  </si>
  <si>
    <t>Ayush Badoni</t>
  </si>
  <si>
    <t>Karan Sharma</t>
  </si>
  <si>
    <t>Dewald Brevis</t>
  </si>
  <si>
    <t>N. Tilak Varma</t>
  </si>
  <si>
    <t>Tymal Mills</t>
  </si>
  <si>
    <t>Riley Meredith</t>
  </si>
  <si>
    <t>Fabian Allen</t>
  </si>
  <si>
    <t>Sanjay Yadav</t>
  </si>
  <si>
    <t>Basil Thampi</t>
  </si>
  <si>
    <t>Rahul Buddhi</t>
  </si>
  <si>
    <t>Hrithik Shokeen</t>
  </si>
  <si>
    <t>Shikhar Dhawan</t>
  </si>
  <si>
    <t>Jonny Bairstow</t>
  </si>
  <si>
    <t>Prabhsimran Singh</t>
  </si>
  <si>
    <t>Rishi Dhawan</t>
  </si>
  <si>
    <t>Sandeep Sharma</t>
  </si>
  <si>
    <t>Bhanuka Rajapaksa</t>
  </si>
  <si>
    <t>Benny Howell</t>
  </si>
  <si>
    <t>Ishan Porel</t>
  </si>
  <si>
    <t>Writtick Chatterjee</t>
  </si>
  <si>
    <t>Baltej Dhanda</t>
  </si>
  <si>
    <t>Ansh Patel</t>
  </si>
  <si>
    <t>Shimron Hetmyer</t>
  </si>
  <si>
    <t>R. Ashwin</t>
  </si>
  <si>
    <t>Riyan Parag</t>
  </si>
  <si>
    <t>Navdeep Saini</t>
  </si>
  <si>
    <t>Nathan Coulter-Nile</t>
  </si>
  <si>
    <t>James Neesham</t>
  </si>
  <si>
    <t>Rassie Van Der Dussen</t>
  </si>
  <si>
    <t>Obed Mccoy</t>
  </si>
  <si>
    <t>K.C Cariappa</t>
  </si>
  <si>
    <t>Dhruv Jurel</t>
  </si>
  <si>
    <t>Tejas Baroka</t>
  </si>
  <si>
    <t>Kuldip Yadav</t>
  </si>
  <si>
    <t>Shubham Garhwal</t>
  </si>
  <si>
    <t>Anunay Singh</t>
  </si>
  <si>
    <t>Dinesh Karthik</t>
  </si>
  <si>
    <t>Finn Allen</t>
  </si>
  <si>
    <t>Jason Behrendorff</t>
  </si>
  <si>
    <t>Siddharth Kaul</t>
  </si>
  <si>
    <t>Suyash Prabhudessai</t>
  </si>
  <si>
    <t>Chama Milind</t>
  </si>
  <si>
    <t>Aneeshwar Gautam</t>
  </si>
  <si>
    <t>Abhishek Sharma</t>
  </si>
  <si>
    <t>Sean Abbott</t>
  </si>
  <si>
    <t>Priyam Garg</t>
  </si>
  <si>
    <t>Jagadeesha Suchith</t>
  </si>
  <si>
    <t>R Samarth</t>
  </si>
  <si>
    <t>Saurabh Dubey</t>
  </si>
  <si>
    <t>2025_sold_amt</t>
  </si>
  <si>
    <t>2024_sold_amt</t>
  </si>
  <si>
    <t>2023_sold_amt</t>
  </si>
  <si>
    <t>2022_sold_amt</t>
  </si>
  <si>
    <t>type2</t>
  </si>
  <si>
    <t>Type1</t>
  </si>
  <si>
    <t>type3</t>
  </si>
  <si>
    <t>final_type</t>
  </si>
  <si>
    <t>Unknown</t>
  </si>
  <si>
    <t>current_team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</si>
</sst>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MK&quot;* #,##0.00_-;\-&quot;MK&quot;* #,##0.00_-;_-&quot;MK&quot;* &quot;-&quot;??_-;_-@_-"/>
    <numFmt numFmtId="164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4"/>
  <sheetViews>
    <sheetView zoomScaleNormal="100" workbookViewId="0">
      <selection activeCell="E9" sqref="E9"/>
    </sheetView>
  </sheetViews>
  <sheetFormatPr defaultRowHeight="14.4" x14ac:dyDescent="0.3"/>
  <cols>
    <col min="2" max="2" width="29" bestFit="1" customWidth="1"/>
    <col min="3" max="3" width="15.44140625" style="1" bestFit="1" customWidth="1"/>
    <col min="4" max="4" width="16.33203125" style="1" bestFit="1" customWidth="1"/>
    <col min="5" max="5" width="12.44140625" bestFit="1" customWidth="1"/>
    <col min="6" max="6" width="24.21875" bestFit="1" customWidth="1"/>
    <col min="8" max="8" width="10.33203125" bestFit="1" customWidth="1"/>
  </cols>
  <sheetData>
    <row r="1" spans="1:8" x14ac:dyDescent="0.3">
      <c r="A1" t="s">
        <v>200</v>
      </c>
      <c r="B1" t="s">
        <v>194</v>
      </c>
      <c r="C1" s="1" t="s">
        <v>195</v>
      </c>
      <c r="D1" s="1" t="s">
        <v>196</v>
      </c>
      <c r="E1" t="s">
        <v>197</v>
      </c>
      <c r="F1" t="s">
        <v>198</v>
      </c>
      <c r="G1" t="s">
        <v>201</v>
      </c>
      <c r="H1" t="s">
        <v>199</v>
      </c>
    </row>
    <row r="2" spans="1:8" x14ac:dyDescent="0.3">
      <c r="A2">
        <v>1</v>
      </c>
      <c r="B2" t="s">
        <v>0</v>
      </c>
      <c r="C2" s="1">
        <v>20000000</v>
      </c>
      <c r="D2" s="1">
        <v>100000000</v>
      </c>
      <c r="E2" t="s">
        <v>1</v>
      </c>
      <c r="F2" t="s">
        <v>2</v>
      </c>
      <c r="G2" s="1">
        <f>C2/100000</f>
        <v>200</v>
      </c>
      <c r="H2" s="1">
        <f>D2/100000</f>
        <v>1000</v>
      </c>
    </row>
    <row r="3" spans="1:8" x14ac:dyDescent="0.3">
      <c r="A3">
        <v>2</v>
      </c>
      <c r="B3" t="s">
        <v>3</v>
      </c>
      <c r="C3" s="1">
        <v>20000000</v>
      </c>
      <c r="D3" s="1">
        <v>97500000</v>
      </c>
      <c r="E3" t="s">
        <v>1</v>
      </c>
      <c r="F3" t="s">
        <v>2</v>
      </c>
      <c r="G3" s="1">
        <f t="shared" ref="G3:G66" si="0">C3/100000</f>
        <v>200</v>
      </c>
      <c r="H3" s="1">
        <f t="shared" ref="H3:H66" si="1">D3/100000</f>
        <v>975</v>
      </c>
    </row>
    <row r="4" spans="1:8" x14ac:dyDescent="0.3">
      <c r="A4">
        <v>3</v>
      </c>
      <c r="B4" t="s">
        <v>4</v>
      </c>
      <c r="C4" s="1">
        <v>20000000</v>
      </c>
      <c r="D4" s="1">
        <v>62500000</v>
      </c>
      <c r="E4" t="s">
        <v>1</v>
      </c>
      <c r="F4" t="s">
        <v>2</v>
      </c>
      <c r="G4" s="1">
        <f t="shared" si="0"/>
        <v>200</v>
      </c>
      <c r="H4" s="1">
        <f t="shared" si="1"/>
        <v>625</v>
      </c>
    </row>
    <row r="5" spans="1:8" x14ac:dyDescent="0.3">
      <c r="A5">
        <v>4</v>
      </c>
      <c r="B5" t="s">
        <v>5</v>
      </c>
      <c r="C5" s="1">
        <v>20000000</v>
      </c>
      <c r="D5" s="1">
        <v>48000000</v>
      </c>
      <c r="E5" t="s">
        <v>1</v>
      </c>
      <c r="F5" t="s">
        <v>2</v>
      </c>
      <c r="G5" s="1">
        <f t="shared" si="0"/>
        <v>200</v>
      </c>
      <c r="H5" s="1">
        <f t="shared" si="1"/>
        <v>480</v>
      </c>
    </row>
    <row r="6" spans="1:8" x14ac:dyDescent="0.3">
      <c r="A6">
        <v>5</v>
      </c>
      <c r="B6" t="s">
        <v>6</v>
      </c>
      <c r="C6" s="1">
        <v>15000000</v>
      </c>
      <c r="D6" s="1">
        <v>40000000</v>
      </c>
      <c r="E6" t="s">
        <v>1</v>
      </c>
      <c r="F6" t="s">
        <v>2</v>
      </c>
      <c r="G6" s="1">
        <f t="shared" si="0"/>
        <v>150</v>
      </c>
      <c r="H6" s="1">
        <f t="shared" si="1"/>
        <v>400</v>
      </c>
    </row>
    <row r="7" spans="1:8" x14ac:dyDescent="0.3">
      <c r="A7">
        <v>6</v>
      </c>
      <c r="B7" t="s">
        <v>7</v>
      </c>
      <c r="C7" s="1">
        <v>3000000</v>
      </c>
      <c r="D7" s="1">
        <v>34000000</v>
      </c>
      <c r="E7" t="s">
        <v>8</v>
      </c>
      <c r="F7" t="s">
        <v>2</v>
      </c>
      <c r="G7" s="1">
        <f t="shared" si="0"/>
        <v>30</v>
      </c>
      <c r="H7" s="1">
        <f t="shared" si="1"/>
        <v>340</v>
      </c>
    </row>
    <row r="8" spans="1:8" x14ac:dyDescent="0.3">
      <c r="A8">
        <v>7</v>
      </c>
      <c r="B8" t="s">
        <v>9</v>
      </c>
      <c r="C8" s="1">
        <v>7500000</v>
      </c>
      <c r="D8" s="1">
        <v>34000000</v>
      </c>
      <c r="E8" t="s">
        <v>1</v>
      </c>
      <c r="F8" t="s">
        <v>2</v>
      </c>
      <c r="G8" s="1">
        <f t="shared" si="0"/>
        <v>75</v>
      </c>
      <c r="H8" s="1">
        <f t="shared" si="1"/>
        <v>340</v>
      </c>
    </row>
    <row r="9" spans="1:8" x14ac:dyDescent="0.3">
      <c r="A9">
        <v>8</v>
      </c>
      <c r="B9" t="s">
        <v>10</v>
      </c>
      <c r="C9" s="1">
        <v>20000000</v>
      </c>
      <c r="D9" s="1">
        <v>24000000</v>
      </c>
      <c r="E9" t="s">
        <v>1</v>
      </c>
      <c r="F9" t="s">
        <v>2</v>
      </c>
      <c r="G9" s="1">
        <f t="shared" si="0"/>
        <v>200</v>
      </c>
      <c r="H9" s="1">
        <f t="shared" si="1"/>
        <v>240</v>
      </c>
    </row>
    <row r="10" spans="1:8" x14ac:dyDescent="0.3">
      <c r="A10">
        <v>9</v>
      </c>
      <c r="B10" t="s">
        <v>11</v>
      </c>
      <c r="C10" s="1">
        <v>3000000</v>
      </c>
      <c r="D10" s="1">
        <v>22000000</v>
      </c>
      <c r="E10" t="s">
        <v>8</v>
      </c>
      <c r="F10" t="s">
        <v>2</v>
      </c>
      <c r="G10" s="1">
        <f t="shared" si="0"/>
        <v>30</v>
      </c>
      <c r="H10" s="1">
        <f t="shared" si="1"/>
        <v>220</v>
      </c>
    </row>
    <row r="11" spans="1:8" x14ac:dyDescent="0.3">
      <c r="A11">
        <v>10</v>
      </c>
      <c r="B11" t="s">
        <v>12</v>
      </c>
      <c r="C11" s="1">
        <v>12500000</v>
      </c>
      <c r="D11" s="1">
        <v>20000000</v>
      </c>
      <c r="E11" t="s">
        <v>1</v>
      </c>
      <c r="F11" t="s">
        <v>2</v>
      </c>
      <c r="G11" s="1">
        <f t="shared" si="0"/>
        <v>125</v>
      </c>
      <c r="H11" s="1">
        <f t="shared" si="1"/>
        <v>200</v>
      </c>
    </row>
    <row r="12" spans="1:8" x14ac:dyDescent="0.3">
      <c r="A12">
        <v>11</v>
      </c>
      <c r="B12" t="s">
        <v>13</v>
      </c>
      <c r="C12" s="1">
        <v>7500000</v>
      </c>
      <c r="D12" s="1">
        <v>17000000</v>
      </c>
      <c r="E12" t="s">
        <v>1</v>
      </c>
      <c r="F12" t="s">
        <v>2</v>
      </c>
      <c r="G12" s="1">
        <f t="shared" si="0"/>
        <v>75</v>
      </c>
      <c r="H12" s="1">
        <f t="shared" si="1"/>
        <v>170</v>
      </c>
    </row>
    <row r="13" spans="1:8" x14ac:dyDescent="0.3">
      <c r="A13">
        <v>12</v>
      </c>
      <c r="B13" t="s">
        <v>14</v>
      </c>
      <c r="C13" s="1">
        <v>15000000</v>
      </c>
      <c r="D13" s="1">
        <v>15000000</v>
      </c>
      <c r="E13" t="s">
        <v>1</v>
      </c>
      <c r="F13" t="s">
        <v>2</v>
      </c>
      <c r="G13" s="1">
        <f t="shared" si="0"/>
        <v>150</v>
      </c>
      <c r="H13" s="1">
        <f t="shared" si="1"/>
        <v>150</v>
      </c>
    </row>
    <row r="14" spans="1:8" x14ac:dyDescent="0.3">
      <c r="A14">
        <v>13</v>
      </c>
      <c r="B14" t="s">
        <v>15</v>
      </c>
      <c r="C14" s="1">
        <v>3000000</v>
      </c>
      <c r="D14" s="1">
        <v>12000000</v>
      </c>
      <c r="E14" t="s">
        <v>8</v>
      </c>
      <c r="F14" t="s">
        <v>2</v>
      </c>
      <c r="G14" s="1">
        <f t="shared" si="0"/>
        <v>30</v>
      </c>
      <c r="H14" s="1">
        <f t="shared" si="1"/>
        <v>120</v>
      </c>
    </row>
    <row r="15" spans="1:8" x14ac:dyDescent="0.3">
      <c r="A15">
        <v>14</v>
      </c>
      <c r="B15" t="s">
        <v>16</v>
      </c>
      <c r="C15" s="1">
        <v>3000000</v>
      </c>
      <c r="D15" s="1">
        <v>5500000</v>
      </c>
      <c r="E15" t="s">
        <v>8</v>
      </c>
      <c r="F15" t="s">
        <v>2</v>
      </c>
      <c r="G15" s="1">
        <f t="shared" si="0"/>
        <v>30</v>
      </c>
      <c r="H15" s="1">
        <f t="shared" si="1"/>
        <v>55</v>
      </c>
    </row>
    <row r="16" spans="1:8" x14ac:dyDescent="0.3">
      <c r="A16">
        <v>15</v>
      </c>
      <c r="B16" t="s">
        <v>17</v>
      </c>
      <c r="C16" s="1">
        <v>3000000</v>
      </c>
      <c r="D16" s="1">
        <v>3000000</v>
      </c>
      <c r="E16" t="s">
        <v>8</v>
      </c>
      <c r="F16" t="s">
        <v>2</v>
      </c>
      <c r="G16" s="1">
        <f t="shared" si="0"/>
        <v>30</v>
      </c>
      <c r="H16" s="1">
        <f t="shared" si="1"/>
        <v>30</v>
      </c>
    </row>
    <row r="17" spans="1:8" x14ac:dyDescent="0.3">
      <c r="A17">
        <v>16</v>
      </c>
      <c r="B17" t="s">
        <v>18</v>
      </c>
      <c r="C17" s="1">
        <v>3000000</v>
      </c>
      <c r="D17" s="1">
        <v>3000000</v>
      </c>
      <c r="E17" t="s">
        <v>8</v>
      </c>
      <c r="F17" t="s">
        <v>2</v>
      </c>
      <c r="G17" s="1">
        <f t="shared" si="0"/>
        <v>30</v>
      </c>
      <c r="H17" s="1">
        <f t="shared" si="1"/>
        <v>30</v>
      </c>
    </row>
    <row r="18" spans="1:8" x14ac:dyDescent="0.3">
      <c r="A18">
        <v>17</v>
      </c>
      <c r="B18" t="s">
        <v>19</v>
      </c>
      <c r="C18" s="1">
        <v>3000000</v>
      </c>
      <c r="D18" s="1">
        <v>3000000</v>
      </c>
      <c r="E18" t="s">
        <v>8</v>
      </c>
      <c r="F18" t="s">
        <v>2</v>
      </c>
      <c r="G18" s="1">
        <f t="shared" si="0"/>
        <v>30</v>
      </c>
      <c r="H18" s="1">
        <f t="shared" si="1"/>
        <v>30</v>
      </c>
    </row>
    <row r="19" spans="1:8" x14ac:dyDescent="0.3">
      <c r="A19">
        <v>18</v>
      </c>
      <c r="B19" t="s">
        <v>20</v>
      </c>
      <c r="C19" s="1">
        <v>3000000</v>
      </c>
      <c r="D19" s="1">
        <v>3000000</v>
      </c>
      <c r="E19" t="s">
        <v>8</v>
      </c>
      <c r="F19" t="s">
        <v>2</v>
      </c>
      <c r="G19" s="1">
        <f t="shared" si="0"/>
        <v>30</v>
      </c>
      <c r="H19" s="1">
        <f t="shared" si="1"/>
        <v>30</v>
      </c>
    </row>
    <row r="20" spans="1:8" x14ac:dyDescent="0.3">
      <c r="A20">
        <v>19</v>
      </c>
      <c r="B20" t="s">
        <v>21</v>
      </c>
      <c r="C20" s="1">
        <v>3000000</v>
      </c>
      <c r="D20" s="1">
        <v>3000000</v>
      </c>
      <c r="E20" t="s">
        <v>8</v>
      </c>
      <c r="F20" t="s">
        <v>2</v>
      </c>
      <c r="G20" s="1">
        <f t="shared" si="0"/>
        <v>30</v>
      </c>
      <c r="H20" s="1">
        <f t="shared" si="1"/>
        <v>30</v>
      </c>
    </row>
    <row r="21" spans="1:8" x14ac:dyDescent="0.3">
      <c r="A21">
        <v>20</v>
      </c>
      <c r="B21" t="s">
        <v>22</v>
      </c>
      <c r="C21" s="1">
        <v>3000000</v>
      </c>
      <c r="D21" s="1">
        <v>3000000</v>
      </c>
      <c r="E21" t="s">
        <v>8</v>
      </c>
      <c r="F21" t="s">
        <v>2</v>
      </c>
      <c r="G21" s="1">
        <f t="shared" si="0"/>
        <v>30</v>
      </c>
      <c r="H21" s="1">
        <f t="shared" si="1"/>
        <v>30</v>
      </c>
    </row>
    <row r="22" spans="1:8" x14ac:dyDescent="0.3">
      <c r="A22">
        <v>21</v>
      </c>
      <c r="B22" t="s">
        <v>23</v>
      </c>
      <c r="C22" s="1">
        <v>20000000</v>
      </c>
      <c r="D22" s="1">
        <v>140000000</v>
      </c>
      <c r="E22" t="s">
        <v>1</v>
      </c>
      <c r="F22" t="s">
        <v>24</v>
      </c>
      <c r="G22" s="1">
        <f t="shared" si="0"/>
        <v>200</v>
      </c>
      <c r="H22" s="1">
        <f t="shared" si="1"/>
        <v>1400</v>
      </c>
    </row>
    <row r="23" spans="1:8" x14ac:dyDescent="0.3">
      <c r="A23">
        <v>22</v>
      </c>
      <c r="B23" t="s">
        <v>25</v>
      </c>
      <c r="C23" s="1">
        <v>20000000</v>
      </c>
      <c r="D23" s="1">
        <v>117500000</v>
      </c>
      <c r="E23" t="s">
        <v>1</v>
      </c>
      <c r="F23" t="s">
        <v>24</v>
      </c>
      <c r="G23" s="1">
        <f t="shared" si="0"/>
        <v>200</v>
      </c>
      <c r="H23" s="1">
        <f t="shared" si="1"/>
        <v>1175</v>
      </c>
    </row>
    <row r="24" spans="1:8" x14ac:dyDescent="0.3">
      <c r="A24">
        <v>23</v>
      </c>
      <c r="B24" t="s">
        <v>26</v>
      </c>
      <c r="C24" s="1">
        <v>20000000</v>
      </c>
      <c r="D24" s="1">
        <v>107500000</v>
      </c>
      <c r="E24" t="s">
        <v>1</v>
      </c>
      <c r="F24" t="s">
        <v>24</v>
      </c>
      <c r="G24" s="1">
        <f t="shared" si="0"/>
        <v>200</v>
      </c>
      <c r="H24" s="1">
        <f t="shared" si="1"/>
        <v>1075</v>
      </c>
    </row>
    <row r="25" spans="1:8" x14ac:dyDescent="0.3">
      <c r="A25">
        <v>24</v>
      </c>
      <c r="B25" t="s">
        <v>27</v>
      </c>
      <c r="C25" s="1">
        <v>20000000</v>
      </c>
      <c r="D25" s="1">
        <v>90000000</v>
      </c>
      <c r="E25" t="s">
        <v>1</v>
      </c>
      <c r="F25" t="s">
        <v>24</v>
      </c>
      <c r="G25" s="1">
        <f t="shared" si="0"/>
        <v>200</v>
      </c>
      <c r="H25" s="1">
        <f t="shared" si="1"/>
        <v>900</v>
      </c>
    </row>
    <row r="26" spans="1:8" x14ac:dyDescent="0.3">
      <c r="A26">
        <v>25</v>
      </c>
      <c r="B26" t="s">
        <v>28</v>
      </c>
      <c r="C26" s="1">
        <v>20000000</v>
      </c>
      <c r="D26" s="1">
        <v>80000000</v>
      </c>
      <c r="E26" t="s">
        <v>1</v>
      </c>
      <c r="F26" t="s">
        <v>24</v>
      </c>
      <c r="G26" s="1">
        <f t="shared" si="0"/>
        <v>200</v>
      </c>
      <c r="H26" s="1">
        <f t="shared" si="1"/>
        <v>800</v>
      </c>
    </row>
    <row r="27" spans="1:8" x14ac:dyDescent="0.3">
      <c r="A27">
        <v>26</v>
      </c>
      <c r="B27" t="s">
        <v>29</v>
      </c>
      <c r="C27" s="1">
        <v>20000000</v>
      </c>
      <c r="D27" s="1">
        <v>62500000</v>
      </c>
      <c r="E27" t="s">
        <v>1</v>
      </c>
      <c r="F27" t="s">
        <v>24</v>
      </c>
      <c r="G27" s="1">
        <f t="shared" si="0"/>
        <v>200</v>
      </c>
      <c r="H27" s="1">
        <f t="shared" si="1"/>
        <v>625</v>
      </c>
    </row>
    <row r="28" spans="1:8" x14ac:dyDescent="0.3">
      <c r="A28">
        <v>27</v>
      </c>
      <c r="B28" t="s">
        <v>30</v>
      </c>
      <c r="C28" s="1">
        <v>3000000</v>
      </c>
      <c r="D28" s="1">
        <v>38000000</v>
      </c>
      <c r="E28" t="s">
        <v>8</v>
      </c>
      <c r="F28" t="s">
        <v>24</v>
      </c>
      <c r="G28" s="1">
        <f t="shared" si="0"/>
        <v>30</v>
      </c>
      <c r="H28" s="1">
        <f t="shared" si="1"/>
        <v>380</v>
      </c>
    </row>
    <row r="29" spans="1:8" x14ac:dyDescent="0.3">
      <c r="A29">
        <v>28</v>
      </c>
      <c r="B29" t="s">
        <v>31</v>
      </c>
      <c r="C29" s="1">
        <v>5000000</v>
      </c>
      <c r="D29" s="1">
        <v>22000000</v>
      </c>
      <c r="E29" t="s">
        <v>8</v>
      </c>
      <c r="F29" t="s">
        <v>24</v>
      </c>
      <c r="G29" s="1">
        <f t="shared" si="0"/>
        <v>50</v>
      </c>
      <c r="H29" s="1">
        <f t="shared" si="1"/>
        <v>220</v>
      </c>
    </row>
    <row r="30" spans="1:8" x14ac:dyDescent="0.3">
      <c r="A30">
        <v>29</v>
      </c>
      <c r="B30" t="s">
        <v>32</v>
      </c>
      <c r="C30" s="1">
        <v>20000000</v>
      </c>
      <c r="D30" s="1">
        <v>20000000</v>
      </c>
      <c r="E30" t="s">
        <v>1</v>
      </c>
      <c r="F30" t="s">
        <v>24</v>
      </c>
      <c r="G30" s="1">
        <f t="shared" si="0"/>
        <v>200</v>
      </c>
      <c r="H30" s="1">
        <f t="shared" si="1"/>
        <v>200</v>
      </c>
    </row>
    <row r="31" spans="1:8" x14ac:dyDescent="0.3">
      <c r="A31">
        <v>30</v>
      </c>
      <c r="B31" t="s">
        <v>33</v>
      </c>
      <c r="C31" s="1">
        <v>3000000</v>
      </c>
      <c r="D31" s="1">
        <v>9500000</v>
      </c>
      <c r="E31" t="s">
        <v>8</v>
      </c>
      <c r="F31" t="s">
        <v>24</v>
      </c>
      <c r="G31" s="1">
        <f t="shared" si="0"/>
        <v>30</v>
      </c>
      <c r="H31" s="1">
        <f t="shared" si="1"/>
        <v>95</v>
      </c>
    </row>
    <row r="32" spans="1:8" x14ac:dyDescent="0.3">
      <c r="A32">
        <v>31</v>
      </c>
      <c r="B32" t="s">
        <v>34</v>
      </c>
      <c r="C32" s="1">
        <v>7500000</v>
      </c>
      <c r="D32" s="1">
        <v>7500000</v>
      </c>
      <c r="E32" t="s">
        <v>1</v>
      </c>
      <c r="F32" t="s">
        <v>24</v>
      </c>
      <c r="G32" s="1">
        <f t="shared" si="0"/>
        <v>75</v>
      </c>
      <c r="H32" s="1">
        <f t="shared" si="1"/>
        <v>75</v>
      </c>
    </row>
    <row r="33" spans="1:8" x14ac:dyDescent="0.3">
      <c r="A33">
        <v>32</v>
      </c>
      <c r="B33" t="s">
        <v>35</v>
      </c>
      <c r="C33" s="1">
        <v>7500000</v>
      </c>
      <c r="D33" s="1">
        <v>7500000</v>
      </c>
      <c r="E33" t="s">
        <v>1</v>
      </c>
      <c r="F33" t="s">
        <v>24</v>
      </c>
      <c r="G33" s="1">
        <f t="shared" si="0"/>
        <v>75</v>
      </c>
      <c r="H33" s="1">
        <f t="shared" si="1"/>
        <v>75</v>
      </c>
    </row>
    <row r="34" spans="1:8" x14ac:dyDescent="0.3">
      <c r="A34">
        <v>33</v>
      </c>
      <c r="B34" t="s">
        <v>36</v>
      </c>
      <c r="C34" s="1">
        <v>3000000</v>
      </c>
      <c r="D34" s="1">
        <v>5000000</v>
      </c>
      <c r="E34" t="s">
        <v>8</v>
      </c>
      <c r="F34" t="s">
        <v>24</v>
      </c>
      <c r="G34" s="1">
        <f t="shared" si="0"/>
        <v>30</v>
      </c>
      <c r="H34" s="1">
        <f t="shared" si="1"/>
        <v>50</v>
      </c>
    </row>
    <row r="35" spans="1:8" x14ac:dyDescent="0.3">
      <c r="A35">
        <v>34</v>
      </c>
      <c r="B35" t="s">
        <v>37</v>
      </c>
      <c r="C35" s="1">
        <v>3000000</v>
      </c>
      <c r="D35" s="1">
        <v>5000000</v>
      </c>
      <c r="E35" t="s">
        <v>8</v>
      </c>
      <c r="F35" t="s">
        <v>24</v>
      </c>
      <c r="G35" s="1">
        <f t="shared" si="0"/>
        <v>30</v>
      </c>
      <c r="H35" s="1">
        <f t="shared" si="1"/>
        <v>50</v>
      </c>
    </row>
    <row r="36" spans="1:8" x14ac:dyDescent="0.3">
      <c r="A36">
        <v>35</v>
      </c>
      <c r="B36" t="s">
        <v>38</v>
      </c>
      <c r="C36" s="1">
        <v>3000000</v>
      </c>
      <c r="D36" s="1">
        <v>4000000</v>
      </c>
      <c r="E36" t="s">
        <v>8</v>
      </c>
      <c r="F36" t="s">
        <v>24</v>
      </c>
      <c r="G36" s="1">
        <f t="shared" si="0"/>
        <v>30</v>
      </c>
      <c r="H36" s="1">
        <f t="shared" si="1"/>
        <v>40</v>
      </c>
    </row>
    <row r="37" spans="1:8" x14ac:dyDescent="0.3">
      <c r="A37">
        <v>36</v>
      </c>
      <c r="B37" t="s">
        <v>39</v>
      </c>
      <c r="C37" s="1">
        <v>3000000</v>
      </c>
      <c r="D37" s="1">
        <v>3000000</v>
      </c>
      <c r="E37" t="s">
        <v>8</v>
      </c>
      <c r="F37" t="s">
        <v>24</v>
      </c>
      <c r="G37" s="1">
        <f t="shared" si="0"/>
        <v>30</v>
      </c>
      <c r="H37" s="1">
        <f t="shared" si="1"/>
        <v>30</v>
      </c>
    </row>
    <row r="38" spans="1:8" x14ac:dyDescent="0.3">
      <c r="A38">
        <v>37</v>
      </c>
      <c r="B38" t="s">
        <v>40</v>
      </c>
      <c r="C38" s="1">
        <v>3000000</v>
      </c>
      <c r="D38" s="1">
        <v>3000000</v>
      </c>
      <c r="E38" t="s">
        <v>8</v>
      </c>
      <c r="F38" t="s">
        <v>24</v>
      </c>
      <c r="G38" s="1">
        <f t="shared" si="0"/>
        <v>30</v>
      </c>
      <c r="H38" s="1">
        <f t="shared" si="1"/>
        <v>30</v>
      </c>
    </row>
    <row r="39" spans="1:8" x14ac:dyDescent="0.3">
      <c r="A39">
        <v>38</v>
      </c>
      <c r="B39" t="s">
        <v>41</v>
      </c>
      <c r="C39" s="1">
        <v>3000000</v>
      </c>
      <c r="D39" s="1">
        <v>3000000</v>
      </c>
      <c r="E39" t="s">
        <v>8</v>
      </c>
      <c r="F39" t="s">
        <v>24</v>
      </c>
      <c r="G39" s="1">
        <f t="shared" si="0"/>
        <v>30</v>
      </c>
      <c r="H39" s="1">
        <f t="shared" si="1"/>
        <v>30</v>
      </c>
    </row>
    <row r="40" spans="1:8" x14ac:dyDescent="0.3">
      <c r="A40">
        <v>39</v>
      </c>
      <c r="B40" t="s">
        <v>42</v>
      </c>
      <c r="C40" s="1">
        <v>3000000</v>
      </c>
      <c r="D40" s="1">
        <v>3000000</v>
      </c>
      <c r="E40" t="s">
        <v>8</v>
      </c>
      <c r="F40" t="s">
        <v>24</v>
      </c>
      <c r="G40" s="1">
        <f t="shared" si="0"/>
        <v>30</v>
      </c>
      <c r="H40" s="1">
        <f t="shared" si="1"/>
        <v>30</v>
      </c>
    </row>
    <row r="41" spans="1:8" x14ac:dyDescent="0.3">
      <c r="A41">
        <v>40</v>
      </c>
      <c r="B41" t="s">
        <v>43</v>
      </c>
      <c r="C41" s="1">
        <v>20000000</v>
      </c>
      <c r="D41" s="1">
        <v>157500000</v>
      </c>
      <c r="E41" t="s">
        <v>1</v>
      </c>
      <c r="F41" t="s">
        <v>44</v>
      </c>
      <c r="G41" s="1">
        <f t="shared" si="0"/>
        <v>200</v>
      </c>
      <c r="H41" s="1">
        <f t="shared" si="1"/>
        <v>1575</v>
      </c>
    </row>
    <row r="42" spans="1:8" x14ac:dyDescent="0.3">
      <c r="A42">
        <v>41</v>
      </c>
      <c r="B42" t="s">
        <v>45</v>
      </c>
      <c r="C42" s="1">
        <v>20000000</v>
      </c>
      <c r="D42" s="1">
        <v>122500000</v>
      </c>
      <c r="E42" t="s">
        <v>1</v>
      </c>
      <c r="F42" t="s">
        <v>44</v>
      </c>
      <c r="G42" s="1">
        <f t="shared" si="0"/>
        <v>200</v>
      </c>
      <c r="H42" s="1">
        <f t="shared" si="1"/>
        <v>1225</v>
      </c>
    </row>
    <row r="43" spans="1:8" x14ac:dyDescent="0.3">
      <c r="A43">
        <v>42</v>
      </c>
      <c r="B43" t="s">
        <v>46</v>
      </c>
      <c r="C43" s="1">
        <v>20000000</v>
      </c>
      <c r="D43" s="1">
        <v>107500000</v>
      </c>
      <c r="E43" t="s">
        <v>1</v>
      </c>
      <c r="F43" t="s">
        <v>44</v>
      </c>
      <c r="G43" s="1">
        <f t="shared" si="0"/>
        <v>200</v>
      </c>
      <c r="H43" s="1">
        <f t="shared" si="1"/>
        <v>1075</v>
      </c>
    </row>
    <row r="44" spans="1:8" x14ac:dyDescent="0.3">
      <c r="A44">
        <v>43</v>
      </c>
      <c r="B44" t="s">
        <v>47</v>
      </c>
      <c r="C44" s="1">
        <v>20000000</v>
      </c>
      <c r="D44" s="1">
        <v>95000000</v>
      </c>
      <c r="E44" t="s">
        <v>1</v>
      </c>
      <c r="F44" t="s">
        <v>44</v>
      </c>
      <c r="G44" s="1">
        <f t="shared" si="0"/>
        <v>200</v>
      </c>
      <c r="H44" s="1">
        <f t="shared" si="1"/>
        <v>950</v>
      </c>
    </row>
    <row r="45" spans="1:8" x14ac:dyDescent="0.3">
      <c r="A45">
        <v>44</v>
      </c>
      <c r="B45" t="s">
        <v>48</v>
      </c>
      <c r="C45" s="1">
        <v>20000000</v>
      </c>
      <c r="D45" s="1">
        <v>32000000</v>
      </c>
      <c r="E45" t="s">
        <v>1</v>
      </c>
      <c r="F45" t="s">
        <v>44</v>
      </c>
      <c r="G45" s="1">
        <f t="shared" si="0"/>
        <v>200</v>
      </c>
      <c r="H45" s="1">
        <f t="shared" si="1"/>
        <v>320</v>
      </c>
    </row>
    <row r="46" spans="1:8" x14ac:dyDescent="0.3">
      <c r="A46">
        <v>45</v>
      </c>
      <c r="B46" t="s">
        <v>49</v>
      </c>
      <c r="C46" s="1">
        <v>15000000</v>
      </c>
      <c r="D46" s="1">
        <v>26000000</v>
      </c>
      <c r="E46" t="s">
        <v>1</v>
      </c>
      <c r="F46" t="s">
        <v>44</v>
      </c>
      <c r="G46" s="1">
        <f t="shared" si="0"/>
        <v>150</v>
      </c>
      <c r="H46" s="1">
        <f t="shared" si="1"/>
        <v>260</v>
      </c>
    </row>
    <row r="47" spans="1:8" x14ac:dyDescent="0.3">
      <c r="A47">
        <v>46</v>
      </c>
      <c r="B47" t="s">
        <v>50</v>
      </c>
      <c r="C47" s="1">
        <v>12500000</v>
      </c>
      <c r="D47" s="1">
        <v>24000000</v>
      </c>
      <c r="E47" t="s">
        <v>1</v>
      </c>
      <c r="F47" t="s">
        <v>44</v>
      </c>
      <c r="G47" s="1">
        <f t="shared" si="0"/>
        <v>125</v>
      </c>
      <c r="H47" s="1">
        <f t="shared" si="1"/>
        <v>240</v>
      </c>
    </row>
    <row r="48" spans="1:8" x14ac:dyDescent="0.3">
      <c r="A48">
        <v>47</v>
      </c>
      <c r="B48" t="s">
        <v>51</v>
      </c>
      <c r="C48" s="1">
        <v>20000000</v>
      </c>
      <c r="D48" s="1">
        <v>20000000</v>
      </c>
      <c r="E48" t="s">
        <v>1</v>
      </c>
      <c r="F48" t="s">
        <v>44</v>
      </c>
      <c r="G48" s="1">
        <f t="shared" si="0"/>
        <v>200</v>
      </c>
      <c r="H48" s="1">
        <f t="shared" si="1"/>
        <v>200</v>
      </c>
    </row>
    <row r="49" spans="1:8" x14ac:dyDescent="0.3">
      <c r="A49">
        <v>48</v>
      </c>
      <c r="B49" t="s">
        <v>52</v>
      </c>
      <c r="C49" s="1">
        <v>7500000</v>
      </c>
      <c r="D49" s="1">
        <v>20000000</v>
      </c>
      <c r="E49" t="s">
        <v>1</v>
      </c>
      <c r="F49" t="s">
        <v>44</v>
      </c>
      <c r="G49" s="1">
        <f t="shared" si="0"/>
        <v>75</v>
      </c>
      <c r="H49" s="1">
        <f t="shared" si="1"/>
        <v>200</v>
      </c>
    </row>
    <row r="50" spans="1:8" x14ac:dyDescent="0.3">
      <c r="A50">
        <v>49</v>
      </c>
      <c r="B50" t="s">
        <v>53</v>
      </c>
      <c r="C50" s="1">
        <v>5000000</v>
      </c>
      <c r="D50" s="1">
        <v>17000000</v>
      </c>
      <c r="E50" t="s">
        <v>8</v>
      </c>
      <c r="F50" t="s">
        <v>44</v>
      </c>
      <c r="G50" s="1">
        <f t="shared" si="0"/>
        <v>50</v>
      </c>
      <c r="H50" s="1">
        <f t="shared" si="1"/>
        <v>170</v>
      </c>
    </row>
    <row r="51" spans="1:8" x14ac:dyDescent="0.3">
      <c r="A51">
        <v>50</v>
      </c>
      <c r="B51" t="s">
        <v>54</v>
      </c>
      <c r="C51" s="1">
        <v>3000000</v>
      </c>
      <c r="D51" s="1">
        <v>13000000</v>
      </c>
      <c r="E51" t="s">
        <v>8</v>
      </c>
      <c r="F51" t="s">
        <v>44</v>
      </c>
      <c r="G51" s="1">
        <f t="shared" si="0"/>
        <v>30</v>
      </c>
      <c r="H51" s="1">
        <f t="shared" si="1"/>
        <v>130</v>
      </c>
    </row>
    <row r="52" spans="1:8" x14ac:dyDescent="0.3">
      <c r="A52">
        <v>51</v>
      </c>
      <c r="B52" t="s">
        <v>55</v>
      </c>
      <c r="C52" s="1">
        <v>3000000</v>
      </c>
      <c r="D52" s="1">
        <v>13000000</v>
      </c>
      <c r="E52" t="s">
        <v>8</v>
      </c>
      <c r="F52" t="s">
        <v>44</v>
      </c>
      <c r="G52" s="1">
        <f t="shared" si="0"/>
        <v>30</v>
      </c>
      <c r="H52" s="1">
        <f t="shared" si="1"/>
        <v>130</v>
      </c>
    </row>
    <row r="53" spans="1:8" x14ac:dyDescent="0.3">
      <c r="A53">
        <v>52</v>
      </c>
      <c r="B53" t="s">
        <v>56</v>
      </c>
      <c r="C53" s="1">
        <v>7500000</v>
      </c>
      <c r="D53" s="1">
        <v>7500000</v>
      </c>
      <c r="E53" t="s">
        <v>1</v>
      </c>
      <c r="F53" t="s">
        <v>44</v>
      </c>
      <c r="G53" s="1">
        <f t="shared" si="0"/>
        <v>75</v>
      </c>
      <c r="H53" s="1">
        <f t="shared" si="1"/>
        <v>75</v>
      </c>
    </row>
    <row r="54" spans="1:8" x14ac:dyDescent="0.3">
      <c r="A54">
        <v>53</v>
      </c>
      <c r="B54" t="s">
        <v>57</v>
      </c>
      <c r="C54" s="1">
        <v>7500000</v>
      </c>
      <c r="D54" s="1">
        <v>7500000</v>
      </c>
      <c r="E54" t="s">
        <v>1</v>
      </c>
      <c r="F54" t="s">
        <v>44</v>
      </c>
      <c r="G54" s="1">
        <f t="shared" si="0"/>
        <v>75</v>
      </c>
      <c r="H54" s="1">
        <f t="shared" si="1"/>
        <v>75</v>
      </c>
    </row>
    <row r="55" spans="1:8" x14ac:dyDescent="0.3">
      <c r="A55">
        <v>54</v>
      </c>
      <c r="B55" t="s">
        <v>58</v>
      </c>
      <c r="C55" s="1">
        <v>7500000</v>
      </c>
      <c r="D55" s="1">
        <v>7500000</v>
      </c>
      <c r="E55" t="s">
        <v>1</v>
      </c>
      <c r="F55" t="s">
        <v>44</v>
      </c>
      <c r="G55" s="1">
        <f t="shared" si="0"/>
        <v>75</v>
      </c>
      <c r="H55" s="1">
        <f t="shared" si="1"/>
        <v>75</v>
      </c>
    </row>
    <row r="56" spans="1:8" x14ac:dyDescent="0.3">
      <c r="A56">
        <v>55</v>
      </c>
      <c r="B56" t="s">
        <v>59</v>
      </c>
      <c r="C56" s="1">
        <v>3000000</v>
      </c>
      <c r="D56" s="1">
        <v>6500000</v>
      </c>
      <c r="E56" t="s">
        <v>8</v>
      </c>
      <c r="F56" t="s">
        <v>44</v>
      </c>
      <c r="G56" s="1">
        <f t="shared" si="0"/>
        <v>30</v>
      </c>
      <c r="H56" s="1">
        <f t="shared" si="1"/>
        <v>65</v>
      </c>
    </row>
    <row r="57" spans="1:8" x14ac:dyDescent="0.3">
      <c r="A57">
        <v>56</v>
      </c>
      <c r="B57" t="s">
        <v>60</v>
      </c>
      <c r="C57" s="1">
        <v>3000000</v>
      </c>
      <c r="D57" s="1">
        <v>3000000</v>
      </c>
      <c r="E57" t="s">
        <v>8</v>
      </c>
      <c r="F57" t="s">
        <v>44</v>
      </c>
      <c r="G57" s="1">
        <f t="shared" si="0"/>
        <v>30</v>
      </c>
      <c r="H57" s="1">
        <f t="shared" si="1"/>
        <v>30</v>
      </c>
    </row>
    <row r="58" spans="1:8" x14ac:dyDescent="0.3">
      <c r="A58">
        <v>57</v>
      </c>
      <c r="B58" t="s">
        <v>61</v>
      </c>
      <c r="C58" s="1">
        <v>3000000</v>
      </c>
      <c r="D58" s="1">
        <v>3000000</v>
      </c>
      <c r="E58" t="s">
        <v>8</v>
      </c>
      <c r="F58" t="s">
        <v>44</v>
      </c>
      <c r="G58" s="1">
        <f t="shared" si="0"/>
        <v>30</v>
      </c>
      <c r="H58" s="1">
        <f t="shared" si="1"/>
        <v>30</v>
      </c>
    </row>
    <row r="59" spans="1:8" x14ac:dyDescent="0.3">
      <c r="A59">
        <v>58</v>
      </c>
      <c r="B59" t="s">
        <v>62</v>
      </c>
      <c r="C59" s="1">
        <v>3000000</v>
      </c>
      <c r="D59" s="1">
        <v>3000000</v>
      </c>
      <c r="E59" t="s">
        <v>8</v>
      </c>
      <c r="F59" t="s">
        <v>44</v>
      </c>
      <c r="G59" s="1">
        <f t="shared" si="0"/>
        <v>30</v>
      </c>
      <c r="H59" s="1">
        <f t="shared" si="1"/>
        <v>30</v>
      </c>
    </row>
    <row r="60" spans="1:8" x14ac:dyDescent="0.3">
      <c r="A60">
        <v>59</v>
      </c>
      <c r="B60" t="s">
        <v>63</v>
      </c>
      <c r="C60" s="1">
        <v>3000000</v>
      </c>
      <c r="D60" s="1">
        <v>3000000</v>
      </c>
      <c r="E60" t="s">
        <v>8</v>
      </c>
      <c r="F60" t="s">
        <v>44</v>
      </c>
      <c r="G60" s="1">
        <f t="shared" si="0"/>
        <v>30</v>
      </c>
      <c r="H60" s="1">
        <f t="shared" si="1"/>
        <v>30</v>
      </c>
    </row>
    <row r="61" spans="1:8" x14ac:dyDescent="0.3">
      <c r="A61">
        <v>60</v>
      </c>
      <c r="B61" t="s">
        <v>64</v>
      </c>
      <c r="C61" s="1">
        <v>20000000</v>
      </c>
      <c r="D61" s="1">
        <v>237500000</v>
      </c>
      <c r="E61" t="s">
        <v>1</v>
      </c>
      <c r="F61" t="s">
        <v>65</v>
      </c>
      <c r="G61" s="1">
        <f t="shared" si="0"/>
        <v>200</v>
      </c>
      <c r="H61" s="1">
        <f t="shared" si="1"/>
        <v>2375</v>
      </c>
    </row>
    <row r="62" spans="1:8" x14ac:dyDescent="0.3">
      <c r="A62">
        <v>61</v>
      </c>
      <c r="B62" t="s">
        <v>66</v>
      </c>
      <c r="C62" s="1">
        <v>20000000</v>
      </c>
      <c r="D62" s="1">
        <v>65000000</v>
      </c>
      <c r="E62" t="s">
        <v>1</v>
      </c>
      <c r="F62" t="s">
        <v>65</v>
      </c>
      <c r="G62" s="1">
        <f t="shared" si="0"/>
        <v>200</v>
      </c>
      <c r="H62" s="1">
        <f t="shared" si="1"/>
        <v>650</v>
      </c>
    </row>
    <row r="63" spans="1:8" x14ac:dyDescent="0.3">
      <c r="A63">
        <v>62</v>
      </c>
      <c r="B63" t="s">
        <v>67</v>
      </c>
      <c r="C63" s="1">
        <v>20000000</v>
      </c>
      <c r="D63" s="1">
        <v>36000000</v>
      </c>
      <c r="E63" t="s">
        <v>1</v>
      </c>
      <c r="F63" t="s">
        <v>65</v>
      </c>
      <c r="G63" s="1">
        <f t="shared" si="0"/>
        <v>200</v>
      </c>
      <c r="H63" s="1">
        <f t="shared" si="1"/>
        <v>360</v>
      </c>
    </row>
    <row r="64" spans="1:8" x14ac:dyDescent="0.3">
      <c r="A64">
        <v>63</v>
      </c>
      <c r="B64" t="s">
        <v>68</v>
      </c>
      <c r="C64" s="1">
        <v>3000000</v>
      </c>
      <c r="D64" s="1">
        <v>30000000</v>
      </c>
      <c r="E64" t="s">
        <v>8</v>
      </c>
      <c r="F64" t="s">
        <v>65</v>
      </c>
      <c r="G64" s="1">
        <f t="shared" si="0"/>
        <v>30</v>
      </c>
      <c r="H64" s="1">
        <f t="shared" si="1"/>
        <v>300</v>
      </c>
    </row>
    <row r="65" spans="1:8" x14ac:dyDescent="0.3">
      <c r="A65">
        <v>64</v>
      </c>
      <c r="B65" t="s">
        <v>69</v>
      </c>
      <c r="C65" s="1">
        <v>20000000</v>
      </c>
      <c r="D65" s="1">
        <v>28000000</v>
      </c>
      <c r="E65" t="s">
        <v>1</v>
      </c>
      <c r="F65" t="s">
        <v>65</v>
      </c>
      <c r="G65" s="1">
        <f t="shared" si="0"/>
        <v>200</v>
      </c>
      <c r="H65" s="1">
        <f t="shared" si="1"/>
        <v>280</v>
      </c>
    </row>
    <row r="66" spans="1:8" x14ac:dyDescent="0.3">
      <c r="A66">
        <v>65</v>
      </c>
      <c r="B66" t="s">
        <v>70</v>
      </c>
      <c r="C66" s="1">
        <v>20000000</v>
      </c>
      <c r="D66" s="1">
        <v>20000000</v>
      </c>
      <c r="E66" t="s">
        <v>1</v>
      </c>
      <c r="F66" t="s">
        <v>65</v>
      </c>
      <c r="G66" s="1">
        <f t="shared" si="0"/>
        <v>200</v>
      </c>
      <c r="H66" s="1">
        <f t="shared" si="1"/>
        <v>200</v>
      </c>
    </row>
    <row r="67" spans="1:8" x14ac:dyDescent="0.3">
      <c r="A67">
        <v>66</v>
      </c>
      <c r="B67" t="s">
        <v>71</v>
      </c>
      <c r="C67" s="1">
        <v>20000000</v>
      </c>
      <c r="D67" s="1">
        <v>20000000</v>
      </c>
      <c r="E67" t="s">
        <v>1</v>
      </c>
      <c r="F67" t="s">
        <v>65</v>
      </c>
      <c r="G67" s="1">
        <f t="shared" ref="G67:G130" si="2">C67/100000</f>
        <v>200</v>
      </c>
      <c r="H67" s="1">
        <f t="shared" ref="H67:H130" si="3">D67/100000</f>
        <v>200</v>
      </c>
    </row>
    <row r="68" spans="1:8" x14ac:dyDescent="0.3">
      <c r="A68">
        <v>67</v>
      </c>
      <c r="B68" t="s">
        <v>72</v>
      </c>
      <c r="C68" s="1">
        <v>3000000</v>
      </c>
      <c r="D68" s="1">
        <v>18000000</v>
      </c>
      <c r="E68" t="s">
        <v>8</v>
      </c>
      <c r="F68" t="s">
        <v>65</v>
      </c>
      <c r="G68" s="1">
        <f t="shared" si="2"/>
        <v>30</v>
      </c>
      <c r="H68" s="1">
        <f t="shared" si="3"/>
        <v>180</v>
      </c>
    </row>
    <row r="69" spans="1:8" x14ac:dyDescent="0.3">
      <c r="A69">
        <v>68</v>
      </c>
      <c r="B69" t="s">
        <v>73</v>
      </c>
      <c r="C69" s="1">
        <v>15000000</v>
      </c>
      <c r="D69" s="1">
        <v>15000000</v>
      </c>
      <c r="E69" t="s">
        <v>1</v>
      </c>
      <c r="F69" t="s">
        <v>65</v>
      </c>
      <c r="G69" s="1">
        <f t="shared" si="2"/>
        <v>150</v>
      </c>
      <c r="H69" s="1">
        <f t="shared" si="3"/>
        <v>150</v>
      </c>
    </row>
    <row r="70" spans="1:8" x14ac:dyDescent="0.3">
      <c r="A70">
        <v>69</v>
      </c>
      <c r="B70" t="s">
        <v>74</v>
      </c>
      <c r="C70" s="1">
        <v>15000000</v>
      </c>
      <c r="D70" s="1">
        <v>15000000</v>
      </c>
      <c r="E70" t="s">
        <v>1</v>
      </c>
      <c r="F70" t="s">
        <v>65</v>
      </c>
      <c r="G70" s="1">
        <f t="shared" si="2"/>
        <v>150</v>
      </c>
      <c r="H70" s="1">
        <f t="shared" si="3"/>
        <v>150</v>
      </c>
    </row>
    <row r="71" spans="1:8" x14ac:dyDescent="0.3">
      <c r="A71">
        <v>70</v>
      </c>
      <c r="B71" t="s">
        <v>75</v>
      </c>
      <c r="C71" s="1">
        <v>7500000</v>
      </c>
      <c r="D71" s="1">
        <v>7500000</v>
      </c>
      <c r="E71" t="s">
        <v>1</v>
      </c>
      <c r="F71" t="s">
        <v>65</v>
      </c>
      <c r="G71" s="1">
        <f t="shared" si="2"/>
        <v>75</v>
      </c>
      <c r="H71" s="1">
        <f t="shared" si="3"/>
        <v>75</v>
      </c>
    </row>
    <row r="72" spans="1:8" x14ac:dyDescent="0.3">
      <c r="A72">
        <v>71</v>
      </c>
      <c r="B72" t="s">
        <v>76</v>
      </c>
      <c r="C72" s="1">
        <v>7500000</v>
      </c>
      <c r="D72" s="1">
        <v>7500000</v>
      </c>
      <c r="E72" t="s">
        <v>1</v>
      </c>
      <c r="F72" t="s">
        <v>65</v>
      </c>
      <c r="G72" s="1">
        <f t="shared" si="2"/>
        <v>75</v>
      </c>
      <c r="H72" s="1">
        <f t="shared" si="3"/>
        <v>75</v>
      </c>
    </row>
    <row r="73" spans="1:8" x14ac:dyDescent="0.3">
      <c r="A73">
        <v>72</v>
      </c>
      <c r="B73" t="s">
        <v>77</v>
      </c>
      <c r="C73" s="1">
        <v>3000000</v>
      </c>
      <c r="D73" s="1">
        <v>4000000</v>
      </c>
      <c r="E73" t="s">
        <v>8</v>
      </c>
      <c r="F73" t="s">
        <v>65</v>
      </c>
      <c r="G73" s="1">
        <f t="shared" si="2"/>
        <v>30</v>
      </c>
      <c r="H73" s="1">
        <f t="shared" si="3"/>
        <v>40</v>
      </c>
    </row>
    <row r="74" spans="1:8" x14ac:dyDescent="0.3">
      <c r="A74">
        <v>73</v>
      </c>
      <c r="B74" t="s">
        <v>78</v>
      </c>
      <c r="C74" s="1">
        <v>3000000</v>
      </c>
      <c r="D74" s="1">
        <v>3000000</v>
      </c>
      <c r="E74" t="s">
        <v>8</v>
      </c>
      <c r="F74" t="s">
        <v>65</v>
      </c>
      <c r="G74" s="1">
        <f t="shared" si="2"/>
        <v>30</v>
      </c>
      <c r="H74" s="1">
        <f t="shared" si="3"/>
        <v>30</v>
      </c>
    </row>
    <row r="75" spans="1:8" x14ac:dyDescent="0.3">
      <c r="A75">
        <v>74</v>
      </c>
      <c r="B75" t="s">
        <v>79</v>
      </c>
      <c r="C75" s="1">
        <v>3000000</v>
      </c>
      <c r="D75" s="1">
        <v>3000000</v>
      </c>
      <c r="E75" t="s">
        <v>8</v>
      </c>
      <c r="F75" t="s">
        <v>65</v>
      </c>
      <c r="G75" s="1">
        <f t="shared" si="2"/>
        <v>30</v>
      </c>
      <c r="H75" s="1">
        <f t="shared" si="3"/>
        <v>30</v>
      </c>
    </row>
    <row r="76" spans="1:8" x14ac:dyDescent="0.3">
      <c r="A76">
        <v>75</v>
      </c>
      <c r="B76" t="s">
        <v>80</v>
      </c>
      <c r="C76" s="1">
        <v>20000000</v>
      </c>
      <c r="D76" s="1">
        <v>270000000</v>
      </c>
      <c r="E76" t="s">
        <v>1</v>
      </c>
      <c r="F76" t="s">
        <v>81</v>
      </c>
      <c r="G76" s="1">
        <f t="shared" si="2"/>
        <v>200</v>
      </c>
      <c r="H76" s="1">
        <f t="shared" si="3"/>
        <v>2700</v>
      </c>
    </row>
    <row r="77" spans="1:8" x14ac:dyDescent="0.3">
      <c r="A77">
        <v>76</v>
      </c>
      <c r="B77" t="s">
        <v>82</v>
      </c>
      <c r="C77" s="1">
        <v>20000000</v>
      </c>
      <c r="D77" s="1">
        <v>97500000</v>
      </c>
      <c r="E77" t="s">
        <v>1</v>
      </c>
      <c r="F77" t="s">
        <v>81</v>
      </c>
      <c r="G77" s="1">
        <f t="shared" si="2"/>
        <v>200</v>
      </c>
      <c r="H77" s="1">
        <f t="shared" si="3"/>
        <v>975</v>
      </c>
    </row>
    <row r="78" spans="1:8" x14ac:dyDescent="0.3">
      <c r="A78">
        <v>77</v>
      </c>
      <c r="B78" t="s">
        <v>83</v>
      </c>
      <c r="C78" s="1">
        <v>10000000</v>
      </c>
      <c r="D78" s="1">
        <v>80000000</v>
      </c>
      <c r="E78" t="s">
        <v>1</v>
      </c>
      <c r="F78" t="s">
        <v>81</v>
      </c>
      <c r="G78" s="1">
        <f t="shared" si="2"/>
        <v>100</v>
      </c>
      <c r="H78" s="1">
        <f t="shared" si="3"/>
        <v>800</v>
      </c>
    </row>
    <row r="79" spans="1:8" x14ac:dyDescent="0.3">
      <c r="A79">
        <v>78</v>
      </c>
      <c r="B79" t="s">
        <v>84</v>
      </c>
      <c r="C79" s="1">
        <v>15000000</v>
      </c>
      <c r="D79" s="1">
        <v>75000000</v>
      </c>
      <c r="E79" t="s">
        <v>1</v>
      </c>
      <c r="F79" t="s">
        <v>81</v>
      </c>
      <c r="G79" s="1">
        <f t="shared" si="2"/>
        <v>150</v>
      </c>
      <c r="H79" s="1">
        <f t="shared" si="3"/>
        <v>750</v>
      </c>
    </row>
    <row r="80" spans="1:8" x14ac:dyDescent="0.3">
      <c r="A80">
        <v>79</v>
      </c>
      <c r="B80" t="s">
        <v>85</v>
      </c>
      <c r="C80" s="1">
        <v>3000000</v>
      </c>
      <c r="D80" s="1">
        <v>42000000</v>
      </c>
      <c r="E80" t="s">
        <v>8</v>
      </c>
      <c r="F80" t="s">
        <v>81</v>
      </c>
      <c r="G80" s="1">
        <f t="shared" si="2"/>
        <v>30</v>
      </c>
      <c r="H80" s="1">
        <f t="shared" si="3"/>
        <v>420</v>
      </c>
    </row>
    <row r="81" spans="1:8" x14ac:dyDescent="0.3">
      <c r="A81">
        <v>80</v>
      </c>
      <c r="B81" t="s">
        <v>86</v>
      </c>
      <c r="C81" s="1">
        <v>20000000</v>
      </c>
      <c r="D81" s="1">
        <v>34000000</v>
      </c>
      <c r="E81" t="s">
        <v>1</v>
      </c>
      <c r="F81" t="s">
        <v>81</v>
      </c>
      <c r="G81" s="1">
        <f t="shared" si="2"/>
        <v>200</v>
      </c>
      <c r="H81" s="1">
        <f t="shared" si="3"/>
        <v>340</v>
      </c>
    </row>
    <row r="82" spans="1:8" x14ac:dyDescent="0.3">
      <c r="A82">
        <v>81</v>
      </c>
      <c r="B82" t="s">
        <v>87</v>
      </c>
      <c r="C82" s="1">
        <v>10000000</v>
      </c>
      <c r="D82" s="1">
        <v>24000000</v>
      </c>
      <c r="E82" t="s">
        <v>1</v>
      </c>
      <c r="F82" t="s">
        <v>81</v>
      </c>
      <c r="G82" s="1">
        <f t="shared" si="2"/>
        <v>100</v>
      </c>
      <c r="H82" s="1">
        <f t="shared" si="3"/>
        <v>240</v>
      </c>
    </row>
    <row r="83" spans="1:8" x14ac:dyDescent="0.3">
      <c r="A83">
        <v>82</v>
      </c>
      <c r="B83" t="s">
        <v>88</v>
      </c>
      <c r="C83" s="1">
        <v>20000000</v>
      </c>
      <c r="D83" s="1">
        <v>20000000</v>
      </c>
      <c r="E83" t="s">
        <v>1</v>
      </c>
      <c r="F83" t="s">
        <v>81</v>
      </c>
      <c r="G83" s="1">
        <f t="shared" si="2"/>
        <v>200</v>
      </c>
      <c r="H83" s="1">
        <f t="shared" si="3"/>
        <v>200</v>
      </c>
    </row>
    <row r="84" spans="1:8" x14ac:dyDescent="0.3">
      <c r="A84">
        <v>83</v>
      </c>
      <c r="B84" t="s">
        <v>89</v>
      </c>
      <c r="C84" s="1">
        <v>7500000</v>
      </c>
      <c r="D84" s="1">
        <v>7500000</v>
      </c>
      <c r="E84" t="s">
        <v>1</v>
      </c>
      <c r="F84" t="s">
        <v>81</v>
      </c>
      <c r="G84" s="1">
        <f t="shared" si="2"/>
        <v>75</v>
      </c>
      <c r="H84" s="1">
        <f t="shared" si="3"/>
        <v>75</v>
      </c>
    </row>
    <row r="85" spans="1:8" x14ac:dyDescent="0.3">
      <c r="A85">
        <v>84</v>
      </c>
      <c r="B85" t="s">
        <v>90</v>
      </c>
      <c r="C85" s="1">
        <v>7500000</v>
      </c>
      <c r="D85" s="1">
        <v>7500000</v>
      </c>
      <c r="E85" t="s">
        <v>1</v>
      </c>
      <c r="F85" t="s">
        <v>81</v>
      </c>
      <c r="G85" s="1">
        <f t="shared" si="2"/>
        <v>75</v>
      </c>
      <c r="H85" s="1">
        <f t="shared" si="3"/>
        <v>75</v>
      </c>
    </row>
    <row r="86" spans="1:8" x14ac:dyDescent="0.3">
      <c r="A86">
        <v>85</v>
      </c>
      <c r="B86" t="s">
        <v>91</v>
      </c>
      <c r="C86" s="1">
        <v>3000000</v>
      </c>
      <c r="D86" s="1">
        <v>7500000</v>
      </c>
      <c r="E86" t="s">
        <v>8</v>
      </c>
      <c r="F86" t="s">
        <v>81</v>
      </c>
      <c r="G86" s="1">
        <f t="shared" si="2"/>
        <v>30</v>
      </c>
      <c r="H86" s="1">
        <f t="shared" si="3"/>
        <v>75</v>
      </c>
    </row>
    <row r="87" spans="1:8" x14ac:dyDescent="0.3">
      <c r="A87">
        <v>86</v>
      </c>
      <c r="B87" t="s">
        <v>92</v>
      </c>
      <c r="C87" s="1">
        <v>3000000</v>
      </c>
      <c r="D87" s="1">
        <v>3000000</v>
      </c>
      <c r="E87" t="s">
        <v>8</v>
      </c>
      <c r="F87" t="s">
        <v>81</v>
      </c>
      <c r="G87" s="1">
        <f t="shared" si="2"/>
        <v>30</v>
      </c>
      <c r="H87" s="1">
        <f t="shared" si="3"/>
        <v>30</v>
      </c>
    </row>
    <row r="88" spans="1:8" x14ac:dyDescent="0.3">
      <c r="A88">
        <v>87</v>
      </c>
      <c r="B88" t="s">
        <v>93</v>
      </c>
      <c r="C88" s="1">
        <v>3000000</v>
      </c>
      <c r="D88" s="1">
        <v>3000000</v>
      </c>
      <c r="E88" t="s">
        <v>8</v>
      </c>
      <c r="F88" t="s">
        <v>81</v>
      </c>
      <c r="G88" s="1">
        <f t="shared" si="2"/>
        <v>30</v>
      </c>
      <c r="H88" s="1">
        <f t="shared" si="3"/>
        <v>30</v>
      </c>
    </row>
    <row r="89" spans="1:8" x14ac:dyDescent="0.3">
      <c r="A89">
        <v>88</v>
      </c>
      <c r="B89" t="s">
        <v>94</v>
      </c>
      <c r="C89" s="1">
        <v>3000000</v>
      </c>
      <c r="D89" s="1">
        <v>3000000</v>
      </c>
      <c r="E89" t="s">
        <v>8</v>
      </c>
      <c r="F89" t="s">
        <v>81</v>
      </c>
      <c r="G89" s="1">
        <f t="shared" si="2"/>
        <v>30</v>
      </c>
      <c r="H89" s="1">
        <f t="shared" si="3"/>
        <v>30</v>
      </c>
    </row>
    <row r="90" spans="1:8" x14ac:dyDescent="0.3">
      <c r="A90">
        <v>89</v>
      </c>
      <c r="B90" t="s">
        <v>95</v>
      </c>
      <c r="C90" s="1">
        <v>3000000</v>
      </c>
      <c r="D90" s="1">
        <v>3000000</v>
      </c>
      <c r="E90" t="s">
        <v>8</v>
      </c>
      <c r="F90" t="s">
        <v>81</v>
      </c>
      <c r="G90" s="1">
        <f t="shared" si="2"/>
        <v>30</v>
      </c>
      <c r="H90" s="1">
        <f t="shared" si="3"/>
        <v>30</v>
      </c>
    </row>
    <row r="91" spans="1:8" x14ac:dyDescent="0.3">
      <c r="A91">
        <v>90</v>
      </c>
      <c r="B91" t="s">
        <v>96</v>
      </c>
      <c r="C91" s="1">
        <v>3000000</v>
      </c>
      <c r="D91" s="1">
        <v>3000000</v>
      </c>
      <c r="E91" t="s">
        <v>8</v>
      </c>
      <c r="F91" t="s">
        <v>81</v>
      </c>
      <c r="G91" s="1">
        <f t="shared" si="2"/>
        <v>30</v>
      </c>
      <c r="H91" s="1">
        <f t="shared" si="3"/>
        <v>30</v>
      </c>
    </row>
    <row r="92" spans="1:8" x14ac:dyDescent="0.3">
      <c r="A92">
        <v>91</v>
      </c>
      <c r="B92" t="s">
        <v>97</v>
      </c>
      <c r="C92" s="1">
        <v>3000000</v>
      </c>
      <c r="D92" s="1">
        <v>3000000</v>
      </c>
      <c r="E92" t="s">
        <v>8</v>
      </c>
      <c r="F92" t="s">
        <v>81</v>
      </c>
      <c r="G92" s="1">
        <f t="shared" si="2"/>
        <v>30</v>
      </c>
      <c r="H92" s="1">
        <f t="shared" si="3"/>
        <v>30</v>
      </c>
    </row>
    <row r="93" spans="1:8" x14ac:dyDescent="0.3">
      <c r="A93">
        <v>92</v>
      </c>
      <c r="B93" t="s">
        <v>98</v>
      </c>
      <c r="C93" s="1">
        <v>3000000</v>
      </c>
      <c r="D93" s="1">
        <v>3000000</v>
      </c>
      <c r="E93" t="s">
        <v>8</v>
      </c>
      <c r="F93" t="s">
        <v>81</v>
      </c>
      <c r="G93" s="1">
        <f t="shared" si="2"/>
        <v>30</v>
      </c>
      <c r="H93" s="1">
        <f t="shared" si="3"/>
        <v>30</v>
      </c>
    </row>
    <row r="94" spans="1:8" x14ac:dyDescent="0.3">
      <c r="A94">
        <v>93</v>
      </c>
      <c r="B94" t="s">
        <v>99</v>
      </c>
      <c r="C94" s="1">
        <v>3000000</v>
      </c>
      <c r="D94" s="1">
        <v>3000000</v>
      </c>
      <c r="E94" t="s">
        <v>8</v>
      </c>
      <c r="F94" t="s">
        <v>81</v>
      </c>
      <c r="G94" s="1">
        <f t="shared" si="2"/>
        <v>30</v>
      </c>
      <c r="H94" s="1">
        <f t="shared" si="3"/>
        <v>30</v>
      </c>
    </row>
    <row r="95" spans="1:8" x14ac:dyDescent="0.3">
      <c r="A95">
        <v>94</v>
      </c>
      <c r="B95" t="s">
        <v>100</v>
      </c>
      <c r="C95" s="1">
        <v>20000000</v>
      </c>
      <c r="D95" s="1">
        <v>125000000</v>
      </c>
      <c r="E95" t="s">
        <v>1</v>
      </c>
      <c r="F95" t="s">
        <v>101</v>
      </c>
      <c r="G95" s="1">
        <f t="shared" si="2"/>
        <v>200</v>
      </c>
      <c r="H95" s="1">
        <f t="shared" si="3"/>
        <v>1250</v>
      </c>
    </row>
    <row r="96" spans="1:8" x14ac:dyDescent="0.3">
      <c r="A96">
        <v>95</v>
      </c>
      <c r="B96" t="s">
        <v>102</v>
      </c>
      <c r="C96" s="1">
        <v>20000000</v>
      </c>
      <c r="D96" s="1">
        <v>92500000</v>
      </c>
      <c r="E96" t="s">
        <v>1</v>
      </c>
      <c r="F96" t="s">
        <v>101</v>
      </c>
      <c r="G96" s="1">
        <f t="shared" si="2"/>
        <v>200</v>
      </c>
      <c r="H96" s="1">
        <f t="shared" si="3"/>
        <v>925</v>
      </c>
    </row>
    <row r="97" spans="1:8" x14ac:dyDescent="0.3">
      <c r="A97">
        <v>96</v>
      </c>
      <c r="B97" t="s">
        <v>103</v>
      </c>
      <c r="C97" s="1">
        <v>20000000</v>
      </c>
      <c r="D97" s="1">
        <v>52500000</v>
      </c>
      <c r="E97" t="s">
        <v>1</v>
      </c>
      <c r="F97" t="s">
        <v>101</v>
      </c>
      <c r="G97" s="1">
        <f t="shared" si="2"/>
        <v>200</v>
      </c>
      <c r="H97" s="1">
        <f t="shared" si="3"/>
        <v>525</v>
      </c>
    </row>
    <row r="98" spans="1:8" x14ac:dyDescent="0.3">
      <c r="A98">
        <v>97</v>
      </c>
      <c r="B98" t="s">
        <v>104</v>
      </c>
      <c r="C98" s="1">
        <v>3000000</v>
      </c>
      <c r="D98" s="1">
        <v>52500000</v>
      </c>
      <c r="E98" t="s">
        <v>8</v>
      </c>
      <c r="F98" t="s">
        <v>101</v>
      </c>
      <c r="G98" s="1">
        <f t="shared" si="2"/>
        <v>30</v>
      </c>
      <c r="H98" s="1">
        <f t="shared" si="3"/>
        <v>525</v>
      </c>
    </row>
    <row r="99" spans="1:8" x14ac:dyDescent="0.3">
      <c r="A99">
        <v>98</v>
      </c>
      <c r="B99" t="s">
        <v>105</v>
      </c>
      <c r="C99" s="1">
        <v>7500000</v>
      </c>
      <c r="D99" s="1">
        <v>48000000</v>
      </c>
      <c r="E99" t="s">
        <v>1</v>
      </c>
      <c r="F99" t="s">
        <v>101</v>
      </c>
      <c r="G99" s="1">
        <f t="shared" si="2"/>
        <v>75</v>
      </c>
      <c r="H99" s="1">
        <f t="shared" si="3"/>
        <v>480</v>
      </c>
    </row>
    <row r="100" spans="1:8" x14ac:dyDescent="0.3">
      <c r="A100">
        <v>99</v>
      </c>
      <c r="B100" t="s">
        <v>106</v>
      </c>
      <c r="C100" s="1">
        <v>20000000</v>
      </c>
      <c r="D100" s="1">
        <v>20000000</v>
      </c>
      <c r="E100" t="s">
        <v>1</v>
      </c>
      <c r="F100" t="s">
        <v>101</v>
      </c>
      <c r="G100" s="1">
        <f t="shared" si="2"/>
        <v>200</v>
      </c>
      <c r="H100" s="1">
        <f t="shared" si="3"/>
        <v>200</v>
      </c>
    </row>
    <row r="101" spans="1:8" x14ac:dyDescent="0.3">
      <c r="A101">
        <v>100</v>
      </c>
      <c r="B101" t="s">
        <v>107</v>
      </c>
      <c r="C101" s="1">
        <v>10000000</v>
      </c>
      <c r="D101" s="1">
        <v>10000000</v>
      </c>
      <c r="E101" t="s">
        <v>1</v>
      </c>
      <c r="F101" t="s">
        <v>101</v>
      </c>
      <c r="G101" s="1">
        <f t="shared" si="2"/>
        <v>100</v>
      </c>
      <c r="H101" s="1">
        <f t="shared" si="3"/>
        <v>100</v>
      </c>
    </row>
    <row r="102" spans="1:8" x14ac:dyDescent="0.3">
      <c r="A102">
        <v>101</v>
      </c>
      <c r="B102" t="s">
        <v>108</v>
      </c>
      <c r="C102" s="1">
        <v>7500000</v>
      </c>
      <c r="D102" s="1">
        <v>7500000</v>
      </c>
      <c r="E102" t="s">
        <v>1</v>
      </c>
      <c r="F102" t="s">
        <v>101</v>
      </c>
      <c r="G102" s="1">
        <f t="shared" si="2"/>
        <v>75</v>
      </c>
      <c r="H102" s="1">
        <f t="shared" si="3"/>
        <v>75</v>
      </c>
    </row>
    <row r="103" spans="1:8" x14ac:dyDescent="0.3">
      <c r="A103">
        <v>102</v>
      </c>
      <c r="B103" t="s">
        <v>109</v>
      </c>
      <c r="C103" s="1">
        <v>7500000</v>
      </c>
      <c r="D103" s="1">
        <v>7500000</v>
      </c>
      <c r="E103" t="s">
        <v>1</v>
      </c>
      <c r="F103" t="s">
        <v>101</v>
      </c>
      <c r="G103" s="1">
        <f t="shared" si="2"/>
        <v>75</v>
      </c>
      <c r="H103" s="1">
        <f t="shared" si="3"/>
        <v>75</v>
      </c>
    </row>
    <row r="104" spans="1:8" x14ac:dyDescent="0.3">
      <c r="A104">
        <v>103</v>
      </c>
      <c r="B104" t="s">
        <v>110</v>
      </c>
      <c r="C104" s="1">
        <v>3000000</v>
      </c>
      <c r="D104" s="1">
        <v>6500000</v>
      </c>
      <c r="E104" t="s">
        <v>8</v>
      </c>
      <c r="F104" t="s">
        <v>101</v>
      </c>
      <c r="G104" s="1">
        <f t="shared" si="2"/>
        <v>30</v>
      </c>
      <c r="H104" s="1">
        <f t="shared" si="3"/>
        <v>65</v>
      </c>
    </row>
    <row r="105" spans="1:8" x14ac:dyDescent="0.3">
      <c r="A105">
        <v>104</v>
      </c>
      <c r="B105" t="s">
        <v>111</v>
      </c>
      <c r="C105" s="1">
        <v>5000000</v>
      </c>
      <c r="D105" s="1">
        <v>5000000</v>
      </c>
      <c r="E105" t="s">
        <v>8</v>
      </c>
      <c r="F105" t="s">
        <v>101</v>
      </c>
      <c r="G105" s="1">
        <f t="shared" si="2"/>
        <v>50</v>
      </c>
      <c r="H105" s="1">
        <f t="shared" si="3"/>
        <v>50</v>
      </c>
    </row>
    <row r="106" spans="1:8" x14ac:dyDescent="0.3">
      <c r="A106">
        <v>105</v>
      </c>
      <c r="B106" t="s">
        <v>112</v>
      </c>
      <c r="C106" s="1">
        <v>3000000</v>
      </c>
      <c r="D106" s="1">
        <v>3000000</v>
      </c>
      <c r="E106" t="s">
        <v>8</v>
      </c>
      <c r="F106" t="s">
        <v>101</v>
      </c>
      <c r="G106" s="1">
        <f t="shared" si="2"/>
        <v>30</v>
      </c>
      <c r="H106" s="1">
        <f t="shared" si="3"/>
        <v>30</v>
      </c>
    </row>
    <row r="107" spans="1:8" x14ac:dyDescent="0.3">
      <c r="A107">
        <v>106</v>
      </c>
      <c r="B107" t="s">
        <v>113</v>
      </c>
      <c r="C107" s="1">
        <v>3000000</v>
      </c>
      <c r="D107" s="1">
        <v>3000000</v>
      </c>
      <c r="E107" t="s">
        <v>8</v>
      </c>
      <c r="F107" t="s">
        <v>101</v>
      </c>
      <c r="G107" s="1">
        <f t="shared" si="2"/>
        <v>30</v>
      </c>
      <c r="H107" s="1">
        <f t="shared" si="3"/>
        <v>30</v>
      </c>
    </row>
    <row r="108" spans="1:8" x14ac:dyDescent="0.3">
      <c r="A108">
        <v>107</v>
      </c>
      <c r="B108" t="s">
        <v>114</v>
      </c>
      <c r="C108" s="1">
        <v>3000000</v>
      </c>
      <c r="D108" s="1">
        <v>3000000</v>
      </c>
      <c r="E108" t="s">
        <v>8</v>
      </c>
      <c r="F108" t="s">
        <v>101</v>
      </c>
      <c r="G108" s="1">
        <f t="shared" si="2"/>
        <v>30</v>
      </c>
      <c r="H108" s="1">
        <f t="shared" si="3"/>
        <v>30</v>
      </c>
    </row>
    <row r="109" spans="1:8" x14ac:dyDescent="0.3">
      <c r="A109">
        <v>108</v>
      </c>
      <c r="B109" t="s">
        <v>115</v>
      </c>
      <c r="C109" s="1">
        <v>3000000</v>
      </c>
      <c r="D109" s="1">
        <v>3000000</v>
      </c>
      <c r="E109" t="s">
        <v>8</v>
      </c>
      <c r="F109" t="s">
        <v>101</v>
      </c>
      <c r="G109" s="1">
        <f t="shared" si="2"/>
        <v>30</v>
      </c>
      <c r="H109" s="1">
        <f t="shared" si="3"/>
        <v>30</v>
      </c>
    </row>
    <row r="110" spans="1:8" x14ac:dyDescent="0.3">
      <c r="A110">
        <v>109</v>
      </c>
      <c r="B110" t="s">
        <v>116</v>
      </c>
      <c r="C110" s="1">
        <v>3000000</v>
      </c>
      <c r="D110" s="1">
        <v>3000000</v>
      </c>
      <c r="E110" t="s">
        <v>8</v>
      </c>
      <c r="F110" t="s">
        <v>101</v>
      </c>
      <c r="G110" s="1">
        <f t="shared" si="2"/>
        <v>30</v>
      </c>
      <c r="H110" s="1">
        <f t="shared" si="3"/>
        <v>30</v>
      </c>
    </row>
    <row r="111" spans="1:8" x14ac:dyDescent="0.3">
      <c r="A111">
        <v>110</v>
      </c>
      <c r="B111" t="s">
        <v>117</v>
      </c>
      <c r="C111" s="1">
        <v>3000000</v>
      </c>
      <c r="D111" s="1">
        <v>3000000</v>
      </c>
      <c r="E111" t="s">
        <v>8</v>
      </c>
      <c r="F111" t="s">
        <v>101</v>
      </c>
      <c r="G111" s="1">
        <f t="shared" si="2"/>
        <v>30</v>
      </c>
      <c r="H111" s="1">
        <f t="shared" si="3"/>
        <v>30</v>
      </c>
    </row>
    <row r="112" spans="1:8" x14ac:dyDescent="0.3">
      <c r="A112">
        <v>111</v>
      </c>
      <c r="B112" t="s">
        <v>118</v>
      </c>
      <c r="C112" s="1">
        <v>3000000</v>
      </c>
      <c r="D112" s="1">
        <v>3000000</v>
      </c>
      <c r="E112" t="s">
        <v>8</v>
      </c>
      <c r="F112" t="s">
        <v>101</v>
      </c>
      <c r="G112" s="1">
        <f t="shared" si="2"/>
        <v>30</v>
      </c>
      <c r="H112" s="1">
        <f t="shared" si="3"/>
        <v>30</v>
      </c>
    </row>
    <row r="113" spans="1:8" x14ac:dyDescent="0.3">
      <c r="A113">
        <v>112</v>
      </c>
      <c r="B113" t="s">
        <v>119</v>
      </c>
      <c r="C113" s="1">
        <v>20000000</v>
      </c>
      <c r="D113" s="1">
        <v>267500000</v>
      </c>
      <c r="E113" t="s">
        <v>1</v>
      </c>
      <c r="F113" t="s">
        <v>120</v>
      </c>
      <c r="G113" s="1">
        <f t="shared" si="2"/>
        <v>200</v>
      </c>
      <c r="H113" s="1">
        <f t="shared" si="3"/>
        <v>2675</v>
      </c>
    </row>
    <row r="114" spans="1:8" x14ac:dyDescent="0.3">
      <c r="A114">
        <v>113</v>
      </c>
      <c r="B114" t="s">
        <v>121</v>
      </c>
      <c r="C114" s="1">
        <v>20000000</v>
      </c>
      <c r="D114" s="1">
        <v>180000000</v>
      </c>
      <c r="E114" t="s">
        <v>1</v>
      </c>
      <c r="F114" t="s">
        <v>120</v>
      </c>
      <c r="G114" s="1">
        <f t="shared" si="2"/>
        <v>200</v>
      </c>
      <c r="H114" s="1">
        <f t="shared" si="3"/>
        <v>1800</v>
      </c>
    </row>
    <row r="115" spans="1:8" x14ac:dyDescent="0.3">
      <c r="A115">
        <v>114</v>
      </c>
      <c r="B115" t="s">
        <v>122</v>
      </c>
      <c r="C115" s="1">
        <v>20000000</v>
      </c>
      <c r="D115" s="1">
        <v>180000000</v>
      </c>
      <c r="E115" t="s">
        <v>1</v>
      </c>
      <c r="F115" t="s">
        <v>120</v>
      </c>
      <c r="G115" s="1">
        <f t="shared" si="2"/>
        <v>200</v>
      </c>
      <c r="H115" s="1">
        <f t="shared" si="3"/>
        <v>1800</v>
      </c>
    </row>
    <row r="116" spans="1:8" x14ac:dyDescent="0.3">
      <c r="A116">
        <v>115</v>
      </c>
      <c r="B116" t="s">
        <v>123</v>
      </c>
      <c r="C116" s="1">
        <v>20000000</v>
      </c>
      <c r="D116" s="1">
        <v>110000000</v>
      </c>
      <c r="E116" t="s">
        <v>1</v>
      </c>
      <c r="F116" t="s">
        <v>120</v>
      </c>
      <c r="G116" s="1">
        <f t="shared" si="2"/>
        <v>200</v>
      </c>
      <c r="H116" s="1">
        <f t="shared" si="3"/>
        <v>1100</v>
      </c>
    </row>
    <row r="117" spans="1:8" x14ac:dyDescent="0.3">
      <c r="A117">
        <v>116</v>
      </c>
      <c r="B117" t="s">
        <v>124</v>
      </c>
      <c r="C117" s="1">
        <v>12500000</v>
      </c>
      <c r="D117" s="1">
        <v>70000000</v>
      </c>
      <c r="E117" t="s">
        <v>1</v>
      </c>
      <c r="F117" t="s">
        <v>120</v>
      </c>
      <c r="G117" s="1">
        <f t="shared" si="2"/>
        <v>125</v>
      </c>
      <c r="H117" s="1">
        <f t="shared" si="3"/>
        <v>700</v>
      </c>
    </row>
    <row r="118" spans="1:8" x14ac:dyDescent="0.3">
      <c r="A118">
        <v>117</v>
      </c>
      <c r="B118" t="s">
        <v>125</v>
      </c>
      <c r="C118" s="1">
        <v>3000000</v>
      </c>
      <c r="D118" s="1">
        <v>42000000</v>
      </c>
      <c r="E118" t="s">
        <v>8</v>
      </c>
      <c r="F118" t="s">
        <v>120</v>
      </c>
      <c r="G118" s="1">
        <f t="shared" si="2"/>
        <v>30</v>
      </c>
      <c r="H118" s="1">
        <f t="shared" si="3"/>
        <v>420</v>
      </c>
    </row>
    <row r="119" spans="1:8" x14ac:dyDescent="0.3">
      <c r="A119">
        <v>118</v>
      </c>
      <c r="B119" t="s">
        <v>126</v>
      </c>
      <c r="C119" s="1">
        <v>20000000</v>
      </c>
      <c r="D119" s="1">
        <v>42000000</v>
      </c>
      <c r="E119" t="s">
        <v>1</v>
      </c>
      <c r="F119" t="s">
        <v>120</v>
      </c>
      <c r="G119" s="1">
        <f t="shared" si="2"/>
        <v>200</v>
      </c>
      <c r="H119" s="1">
        <f t="shared" si="3"/>
        <v>420</v>
      </c>
    </row>
    <row r="120" spans="1:8" x14ac:dyDescent="0.3">
      <c r="A120">
        <v>119</v>
      </c>
      <c r="B120" t="s">
        <v>127</v>
      </c>
      <c r="C120" s="1">
        <v>3000000</v>
      </c>
      <c r="D120" s="1">
        <v>38000000</v>
      </c>
      <c r="E120" t="s">
        <v>8</v>
      </c>
      <c r="F120" t="s">
        <v>120</v>
      </c>
      <c r="G120" s="1">
        <f t="shared" si="2"/>
        <v>30</v>
      </c>
      <c r="H120" s="1">
        <f t="shared" si="3"/>
        <v>380</v>
      </c>
    </row>
    <row r="121" spans="1:8" x14ac:dyDescent="0.3">
      <c r="A121">
        <v>120</v>
      </c>
      <c r="B121" t="s">
        <v>128</v>
      </c>
      <c r="C121" s="1">
        <v>20000000</v>
      </c>
      <c r="D121" s="1">
        <v>26000000</v>
      </c>
      <c r="E121" t="s">
        <v>1</v>
      </c>
      <c r="F121" t="s">
        <v>120</v>
      </c>
      <c r="G121" s="1">
        <f t="shared" si="2"/>
        <v>200</v>
      </c>
      <c r="H121" s="1">
        <f t="shared" si="3"/>
        <v>260</v>
      </c>
    </row>
    <row r="122" spans="1:8" x14ac:dyDescent="0.3">
      <c r="A122">
        <v>121</v>
      </c>
      <c r="B122" t="s">
        <v>129</v>
      </c>
      <c r="C122" s="1">
        <v>15000000</v>
      </c>
      <c r="D122" s="1">
        <v>24000000</v>
      </c>
      <c r="E122" t="s">
        <v>1</v>
      </c>
      <c r="F122" t="s">
        <v>120</v>
      </c>
      <c r="G122" s="1">
        <f t="shared" si="2"/>
        <v>150</v>
      </c>
      <c r="H122" s="1">
        <f t="shared" si="3"/>
        <v>240</v>
      </c>
    </row>
    <row r="123" spans="1:8" x14ac:dyDescent="0.3">
      <c r="A123">
        <v>122</v>
      </c>
      <c r="B123" t="s">
        <v>130</v>
      </c>
      <c r="C123" s="1">
        <v>20000000</v>
      </c>
      <c r="D123" s="1">
        <v>20000000</v>
      </c>
      <c r="E123" t="s">
        <v>1</v>
      </c>
      <c r="F123" t="s">
        <v>120</v>
      </c>
      <c r="G123" s="1">
        <f t="shared" si="2"/>
        <v>200</v>
      </c>
      <c r="H123" s="1">
        <f t="shared" si="3"/>
        <v>200</v>
      </c>
    </row>
    <row r="124" spans="1:8" x14ac:dyDescent="0.3">
      <c r="A124">
        <v>123</v>
      </c>
      <c r="B124" t="s">
        <v>131</v>
      </c>
      <c r="C124" s="1">
        <v>3000000</v>
      </c>
      <c r="D124" s="1">
        <v>18000000</v>
      </c>
      <c r="E124" t="s">
        <v>8</v>
      </c>
      <c r="F124" t="s">
        <v>120</v>
      </c>
      <c r="G124" s="1">
        <f t="shared" si="2"/>
        <v>30</v>
      </c>
      <c r="H124" s="1">
        <f t="shared" si="3"/>
        <v>180</v>
      </c>
    </row>
    <row r="125" spans="1:8" x14ac:dyDescent="0.3">
      <c r="A125">
        <v>124</v>
      </c>
      <c r="B125" t="s">
        <v>132</v>
      </c>
      <c r="C125" s="1">
        <v>3000000</v>
      </c>
      <c r="D125" s="1">
        <v>16000000</v>
      </c>
      <c r="E125" t="s">
        <v>8</v>
      </c>
      <c r="F125" t="s">
        <v>120</v>
      </c>
      <c r="G125" s="1">
        <f t="shared" si="2"/>
        <v>30</v>
      </c>
      <c r="H125" s="1">
        <f t="shared" si="3"/>
        <v>160</v>
      </c>
    </row>
    <row r="126" spans="1:8" x14ac:dyDescent="0.3">
      <c r="A126">
        <v>125</v>
      </c>
      <c r="B126" t="s">
        <v>133</v>
      </c>
      <c r="C126" s="1">
        <v>3000000</v>
      </c>
      <c r="D126" s="1">
        <v>15000000</v>
      </c>
      <c r="E126" t="s">
        <v>8</v>
      </c>
      <c r="F126" t="s">
        <v>120</v>
      </c>
      <c r="G126" s="1">
        <f t="shared" si="2"/>
        <v>30</v>
      </c>
      <c r="H126" s="1">
        <f t="shared" si="3"/>
        <v>150</v>
      </c>
    </row>
    <row r="127" spans="1:8" x14ac:dyDescent="0.3">
      <c r="A127">
        <v>126</v>
      </c>
      <c r="B127" t="s">
        <v>134</v>
      </c>
      <c r="C127" s="1">
        <v>12500000</v>
      </c>
      <c r="D127" s="1">
        <v>12500000</v>
      </c>
      <c r="E127" t="s">
        <v>1</v>
      </c>
      <c r="F127" t="s">
        <v>120</v>
      </c>
      <c r="G127" s="1">
        <f t="shared" si="2"/>
        <v>125</v>
      </c>
      <c r="H127" s="1">
        <f t="shared" si="3"/>
        <v>125</v>
      </c>
    </row>
    <row r="128" spans="1:8" x14ac:dyDescent="0.3">
      <c r="A128">
        <v>127</v>
      </c>
      <c r="B128" t="s">
        <v>135</v>
      </c>
      <c r="C128" s="1">
        <v>3000000</v>
      </c>
      <c r="D128" s="1">
        <v>9500000</v>
      </c>
      <c r="E128" t="s">
        <v>8</v>
      </c>
      <c r="F128" t="s">
        <v>120</v>
      </c>
      <c r="G128" s="1">
        <f t="shared" si="2"/>
        <v>30</v>
      </c>
      <c r="H128" s="1">
        <f t="shared" si="3"/>
        <v>95</v>
      </c>
    </row>
    <row r="129" spans="1:8" x14ac:dyDescent="0.3">
      <c r="A129">
        <v>128</v>
      </c>
      <c r="B129" t="s">
        <v>136</v>
      </c>
      <c r="C129" s="1">
        <v>7500000</v>
      </c>
      <c r="D129" s="1">
        <v>8000000</v>
      </c>
      <c r="E129" t="s">
        <v>1</v>
      </c>
      <c r="F129" t="s">
        <v>120</v>
      </c>
      <c r="G129" s="1">
        <f t="shared" si="2"/>
        <v>75</v>
      </c>
      <c r="H129" s="1">
        <f t="shared" si="3"/>
        <v>80</v>
      </c>
    </row>
    <row r="130" spans="1:8" x14ac:dyDescent="0.3">
      <c r="A130">
        <v>129</v>
      </c>
      <c r="B130" t="s">
        <v>137</v>
      </c>
      <c r="C130" s="1">
        <v>7500000</v>
      </c>
      <c r="D130" s="1">
        <v>8000000</v>
      </c>
      <c r="E130" t="s">
        <v>1</v>
      </c>
      <c r="F130" t="s">
        <v>120</v>
      </c>
      <c r="G130" s="1">
        <f t="shared" si="2"/>
        <v>75</v>
      </c>
      <c r="H130" s="1">
        <f t="shared" si="3"/>
        <v>80</v>
      </c>
    </row>
    <row r="131" spans="1:8" x14ac:dyDescent="0.3">
      <c r="A131">
        <v>130</v>
      </c>
      <c r="B131" t="s">
        <v>138</v>
      </c>
      <c r="C131" s="1">
        <v>3000000</v>
      </c>
      <c r="D131" s="1">
        <v>3000000</v>
      </c>
      <c r="E131" t="s">
        <v>8</v>
      </c>
      <c r="F131" t="s">
        <v>120</v>
      </c>
      <c r="G131" s="1">
        <f t="shared" ref="G131:G183" si="4">C131/100000</f>
        <v>30</v>
      </c>
      <c r="H131" s="1">
        <f t="shared" ref="H131:H183" si="5">D131/100000</f>
        <v>30</v>
      </c>
    </row>
    <row r="132" spans="1:8" x14ac:dyDescent="0.3">
      <c r="A132">
        <v>131</v>
      </c>
      <c r="B132" t="s">
        <v>139</v>
      </c>
      <c r="C132" s="1">
        <v>3000000</v>
      </c>
      <c r="D132" s="1">
        <v>3000000</v>
      </c>
      <c r="E132" t="s">
        <v>8</v>
      </c>
      <c r="F132" t="s">
        <v>120</v>
      </c>
      <c r="G132" s="1">
        <f t="shared" si="4"/>
        <v>30</v>
      </c>
      <c r="H132" s="1">
        <f t="shared" si="5"/>
        <v>30</v>
      </c>
    </row>
    <row r="133" spans="1:8" x14ac:dyDescent="0.3">
      <c r="A133">
        <v>132</v>
      </c>
      <c r="B133" t="s">
        <v>140</v>
      </c>
      <c r="C133" s="1">
        <v>3000000</v>
      </c>
      <c r="D133" s="1">
        <v>3000000</v>
      </c>
      <c r="E133" t="s">
        <v>8</v>
      </c>
      <c r="F133" t="s">
        <v>120</v>
      </c>
      <c r="G133" s="1">
        <f t="shared" si="4"/>
        <v>30</v>
      </c>
      <c r="H133" s="1">
        <f t="shared" si="5"/>
        <v>30</v>
      </c>
    </row>
    <row r="134" spans="1:8" x14ac:dyDescent="0.3">
      <c r="A134">
        <v>133</v>
      </c>
      <c r="B134" t="s">
        <v>141</v>
      </c>
      <c r="C134" s="1">
        <v>3000000</v>
      </c>
      <c r="D134" s="1">
        <v>3000000</v>
      </c>
      <c r="E134" t="s">
        <v>8</v>
      </c>
      <c r="F134" t="s">
        <v>120</v>
      </c>
      <c r="G134" s="1">
        <f t="shared" si="4"/>
        <v>30</v>
      </c>
      <c r="H134" s="1">
        <f t="shared" si="5"/>
        <v>30</v>
      </c>
    </row>
    <row r="135" spans="1:8" x14ac:dyDescent="0.3">
      <c r="A135">
        <v>134</v>
      </c>
      <c r="B135" t="s">
        <v>142</v>
      </c>
      <c r="C135" s="1">
        <v>3000000</v>
      </c>
      <c r="D135" s="1">
        <v>3000000</v>
      </c>
      <c r="E135" t="s">
        <v>8</v>
      </c>
      <c r="F135" t="s">
        <v>120</v>
      </c>
      <c r="G135" s="1">
        <f t="shared" si="4"/>
        <v>30</v>
      </c>
      <c r="H135" s="1">
        <f t="shared" si="5"/>
        <v>30</v>
      </c>
    </row>
    <row r="136" spans="1:8" x14ac:dyDescent="0.3">
      <c r="A136">
        <v>135</v>
      </c>
      <c r="B136" t="s">
        <v>143</v>
      </c>
      <c r="C136" s="1">
        <v>20000000</v>
      </c>
      <c r="D136" s="1">
        <v>125000000</v>
      </c>
      <c r="E136" t="s">
        <v>1</v>
      </c>
      <c r="F136" t="s">
        <v>144</v>
      </c>
      <c r="G136" s="1">
        <f t="shared" si="4"/>
        <v>200</v>
      </c>
      <c r="H136" s="1">
        <f t="shared" si="5"/>
        <v>1250</v>
      </c>
    </row>
    <row r="137" spans="1:8" x14ac:dyDescent="0.3">
      <c r="A137">
        <v>136</v>
      </c>
      <c r="B137" t="s">
        <v>145</v>
      </c>
      <c r="C137" s="1">
        <v>10000000</v>
      </c>
      <c r="D137" s="1">
        <v>65000000</v>
      </c>
      <c r="E137" t="s">
        <v>1</v>
      </c>
      <c r="F137" t="s">
        <v>144</v>
      </c>
      <c r="G137" s="1">
        <f t="shared" si="4"/>
        <v>100</v>
      </c>
      <c r="H137" s="1">
        <f t="shared" si="5"/>
        <v>650</v>
      </c>
    </row>
    <row r="138" spans="1:8" x14ac:dyDescent="0.3">
      <c r="A138">
        <v>137</v>
      </c>
      <c r="B138" t="s">
        <v>146</v>
      </c>
      <c r="C138" s="1">
        <v>20000000</v>
      </c>
      <c r="D138" s="1">
        <v>52500000</v>
      </c>
      <c r="E138" t="s">
        <v>1</v>
      </c>
      <c r="F138" t="s">
        <v>144</v>
      </c>
      <c r="G138" s="1">
        <f t="shared" si="4"/>
        <v>200</v>
      </c>
      <c r="H138" s="1">
        <f t="shared" si="5"/>
        <v>525</v>
      </c>
    </row>
    <row r="139" spans="1:8" x14ac:dyDescent="0.3">
      <c r="A139">
        <v>138</v>
      </c>
      <c r="B139" t="s">
        <v>147</v>
      </c>
      <c r="C139" s="1">
        <v>20000000</v>
      </c>
      <c r="D139" s="1">
        <v>44000000</v>
      </c>
      <c r="E139" t="s">
        <v>1</v>
      </c>
      <c r="F139" t="s">
        <v>144</v>
      </c>
      <c r="G139" s="1">
        <f t="shared" si="4"/>
        <v>200</v>
      </c>
      <c r="H139" s="1">
        <f t="shared" si="5"/>
        <v>440</v>
      </c>
    </row>
    <row r="140" spans="1:8" x14ac:dyDescent="0.3">
      <c r="A140">
        <v>139</v>
      </c>
      <c r="B140" t="s">
        <v>148</v>
      </c>
      <c r="C140" s="1">
        <v>15000000</v>
      </c>
      <c r="D140" s="1">
        <v>42000000</v>
      </c>
      <c r="E140" t="s">
        <v>1</v>
      </c>
      <c r="F140" t="s">
        <v>144</v>
      </c>
      <c r="G140" s="1">
        <f t="shared" si="4"/>
        <v>150</v>
      </c>
      <c r="H140" s="1">
        <f t="shared" si="5"/>
        <v>420</v>
      </c>
    </row>
    <row r="141" spans="1:8" x14ac:dyDescent="0.3">
      <c r="A141">
        <v>140</v>
      </c>
      <c r="B141" t="s">
        <v>149</v>
      </c>
      <c r="C141" s="1">
        <v>20000000</v>
      </c>
      <c r="D141" s="1">
        <v>20000000</v>
      </c>
      <c r="E141" t="s">
        <v>1</v>
      </c>
      <c r="F141" t="s">
        <v>144</v>
      </c>
      <c r="G141" s="1">
        <f t="shared" si="4"/>
        <v>200</v>
      </c>
      <c r="H141" s="1">
        <f t="shared" si="5"/>
        <v>200</v>
      </c>
    </row>
    <row r="142" spans="1:8" x14ac:dyDescent="0.3">
      <c r="A142">
        <v>141</v>
      </c>
      <c r="B142" t="s">
        <v>150</v>
      </c>
      <c r="C142" s="1">
        <v>7500000</v>
      </c>
      <c r="D142" s="1">
        <v>15000000</v>
      </c>
      <c r="E142" t="s">
        <v>1</v>
      </c>
      <c r="F142" t="s">
        <v>144</v>
      </c>
      <c r="G142" s="1">
        <f t="shared" si="4"/>
        <v>75</v>
      </c>
      <c r="H142" s="1">
        <f t="shared" si="5"/>
        <v>150</v>
      </c>
    </row>
    <row r="143" spans="1:8" x14ac:dyDescent="0.3">
      <c r="A143">
        <v>142</v>
      </c>
      <c r="B143" t="s">
        <v>151</v>
      </c>
      <c r="C143" s="1">
        <v>3000000</v>
      </c>
      <c r="D143" s="1">
        <v>12000000</v>
      </c>
      <c r="E143" t="s">
        <v>8</v>
      </c>
      <c r="F143" t="s">
        <v>144</v>
      </c>
      <c r="G143" s="1">
        <f t="shared" si="4"/>
        <v>30</v>
      </c>
      <c r="H143" s="1">
        <f t="shared" si="5"/>
        <v>120</v>
      </c>
    </row>
    <row r="144" spans="1:8" x14ac:dyDescent="0.3">
      <c r="A144">
        <v>143</v>
      </c>
      <c r="B144" t="s">
        <v>152</v>
      </c>
      <c r="C144" s="1">
        <v>3000000</v>
      </c>
      <c r="D144" s="1">
        <v>11000000</v>
      </c>
      <c r="E144" t="s">
        <v>8</v>
      </c>
      <c r="F144" t="s">
        <v>144</v>
      </c>
      <c r="G144" s="1">
        <f t="shared" si="4"/>
        <v>30</v>
      </c>
      <c r="H144" s="1">
        <f t="shared" si="5"/>
        <v>110</v>
      </c>
    </row>
    <row r="145" spans="1:8" x14ac:dyDescent="0.3">
      <c r="A145">
        <v>144</v>
      </c>
      <c r="B145" t="s">
        <v>153</v>
      </c>
      <c r="C145" s="1">
        <v>3000000</v>
      </c>
      <c r="D145" s="1">
        <v>8000000</v>
      </c>
      <c r="E145" t="s">
        <v>8</v>
      </c>
      <c r="F145" t="s">
        <v>144</v>
      </c>
      <c r="G145" s="1">
        <f t="shared" si="4"/>
        <v>30</v>
      </c>
      <c r="H145" s="1">
        <f t="shared" si="5"/>
        <v>80</v>
      </c>
    </row>
    <row r="146" spans="1:8" x14ac:dyDescent="0.3">
      <c r="A146">
        <v>145</v>
      </c>
      <c r="B146" t="s">
        <v>154</v>
      </c>
      <c r="C146" s="1">
        <v>3000000</v>
      </c>
      <c r="D146" s="1">
        <v>3500000</v>
      </c>
      <c r="E146" t="s">
        <v>8</v>
      </c>
      <c r="F146" t="s">
        <v>144</v>
      </c>
      <c r="G146" s="1">
        <f t="shared" si="4"/>
        <v>30</v>
      </c>
      <c r="H146" s="1">
        <f t="shared" si="5"/>
        <v>35</v>
      </c>
    </row>
    <row r="147" spans="1:8" x14ac:dyDescent="0.3">
      <c r="A147">
        <v>146</v>
      </c>
      <c r="B147" t="s">
        <v>155</v>
      </c>
      <c r="C147" s="1">
        <v>3000000</v>
      </c>
      <c r="D147" s="1">
        <v>3000000</v>
      </c>
      <c r="E147" t="s">
        <v>8</v>
      </c>
      <c r="F147" t="s">
        <v>144</v>
      </c>
      <c r="G147" s="1">
        <f t="shared" si="4"/>
        <v>30</v>
      </c>
      <c r="H147" s="1">
        <f t="shared" si="5"/>
        <v>30</v>
      </c>
    </row>
    <row r="148" spans="1:8" x14ac:dyDescent="0.3">
      <c r="A148">
        <v>147</v>
      </c>
      <c r="B148" t="s">
        <v>156</v>
      </c>
      <c r="C148" s="1">
        <v>3000000</v>
      </c>
      <c r="D148" s="1">
        <v>3000000</v>
      </c>
      <c r="E148" t="s">
        <v>8</v>
      </c>
      <c r="F148" t="s">
        <v>144</v>
      </c>
      <c r="G148" s="1">
        <f t="shared" si="4"/>
        <v>30</v>
      </c>
      <c r="H148" s="1">
        <f t="shared" si="5"/>
        <v>30</v>
      </c>
    </row>
    <row r="149" spans="1:8" x14ac:dyDescent="0.3">
      <c r="A149">
        <v>148</v>
      </c>
      <c r="B149" t="s">
        <v>157</v>
      </c>
      <c r="C149" s="1">
        <v>3000000</v>
      </c>
      <c r="D149" s="1">
        <v>3000000</v>
      </c>
      <c r="E149" t="s">
        <v>8</v>
      </c>
      <c r="F149" t="s">
        <v>144</v>
      </c>
      <c r="G149" s="1">
        <f t="shared" si="4"/>
        <v>30</v>
      </c>
      <c r="H149" s="1">
        <f t="shared" si="5"/>
        <v>30</v>
      </c>
    </row>
    <row r="150" spans="1:8" x14ac:dyDescent="0.3">
      <c r="A150">
        <v>149</v>
      </c>
      <c r="B150" t="s">
        <v>158</v>
      </c>
      <c r="C150" s="1">
        <v>20000000</v>
      </c>
      <c r="D150" s="1">
        <v>125000000</v>
      </c>
      <c r="E150" t="s">
        <v>1</v>
      </c>
      <c r="F150" t="s">
        <v>159</v>
      </c>
      <c r="G150" s="1">
        <f t="shared" si="4"/>
        <v>200</v>
      </c>
      <c r="H150" s="1">
        <f t="shared" si="5"/>
        <v>1250</v>
      </c>
    </row>
    <row r="151" spans="1:8" x14ac:dyDescent="0.3">
      <c r="A151">
        <v>150</v>
      </c>
      <c r="B151" t="s">
        <v>160</v>
      </c>
      <c r="C151" s="1">
        <v>20000000</v>
      </c>
      <c r="D151" s="1">
        <v>115000000</v>
      </c>
      <c r="E151" t="s">
        <v>1</v>
      </c>
      <c r="F151" t="s">
        <v>159</v>
      </c>
      <c r="G151" s="1">
        <f t="shared" si="4"/>
        <v>200</v>
      </c>
      <c r="H151" s="1">
        <f t="shared" si="5"/>
        <v>1150</v>
      </c>
    </row>
    <row r="152" spans="1:8" x14ac:dyDescent="0.3">
      <c r="A152">
        <v>151</v>
      </c>
      <c r="B152" t="s">
        <v>161</v>
      </c>
      <c r="C152" s="1">
        <v>10000000</v>
      </c>
      <c r="D152" s="1">
        <v>110000000</v>
      </c>
      <c r="E152" t="s">
        <v>1</v>
      </c>
      <c r="F152" t="s">
        <v>159</v>
      </c>
      <c r="G152" s="1">
        <f t="shared" si="4"/>
        <v>100</v>
      </c>
      <c r="H152" s="1">
        <f t="shared" si="5"/>
        <v>1100</v>
      </c>
    </row>
    <row r="153" spans="1:8" x14ac:dyDescent="0.3">
      <c r="A153">
        <v>152</v>
      </c>
      <c r="B153" t="s">
        <v>162</v>
      </c>
      <c r="C153" s="1">
        <v>20000000</v>
      </c>
      <c r="D153" s="1">
        <v>107500000</v>
      </c>
      <c r="E153" t="s">
        <v>1</v>
      </c>
      <c r="F153" t="s">
        <v>159</v>
      </c>
      <c r="G153" s="1">
        <f t="shared" si="4"/>
        <v>200</v>
      </c>
      <c r="H153" s="1">
        <f t="shared" si="5"/>
        <v>1075</v>
      </c>
    </row>
    <row r="154" spans="1:8" x14ac:dyDescent="0.3">
      <c r="A154">
        <v>153</v>
      </c>
      <c r="B154" t="s">
        <v>163</v>
      </c>
      <c r="C154" s="1">
        <v>20000000</v>
      </c>
      <c r="D154" s="1">
        <v>87500000</v>
      </c>
      <c r="E154" t="s">
        <v>1</v>
      </c>
      <c r="F154" t="s">
        <v>159</v>
      </c>
      <c r="G154" s="1">
        <f t="shared" si="4"/>
        <v>200</v>
      </c>
      <c r="H154" s="1">
        <f t="shared" si="5"/>
        <v>875</v>
      </c>
    </row>
    <row r="155" spans="1:8" x14ac:dyDescent="0.3">
      <c r="A155">
        <v>154</v>
      </c>
      <c r="B155" t="s">
        <v>164</v>
      </c>
      <c r="C155" s="1">
        <v>3000000</v>
      </c>
      <c r="D155" s="1">
        <v>60000000</v>
      </c>
      <c r="E155" t="s">
        <v>8</v>
      </c>
      <c r="F155" t="s">
        <v>159</v>
      </c>
      <c r="G155" s="1">
        <f t="shared" si="4"/>
        <v>30</v>
      </c>
      <c r="H155" s="1">
        <f t="shared" si="5"/>
        <v>600</v>
      </c>
    </row>
    <row r="156" spans="1:8" x14ac:dyDescent="0.3">
      <c r="A156">
        <v>155</v>
      </c>
      <c r="B156" t="s">
        <v>165</v>
      </c>
      <c r="C156" s="1">
        <v>20000000</v>
      </c>
      <c r="D156" s="1">
        <v>57500000</v>
      </c>
      <c r="E156" t="s">
        <v>1</v>
      </c>
      <c r="F156" t="s">
        <v>159</v>
      </c>
      <c r="G156" s="1">
        <f t="shared" si="4"/>
        <v>200</v>
      </c>
      <c r="H156" s="1">
        <f t="shared" si="5"/>
        <v>575</v>
      </c>
    </row>
    <row r="157" spans="1:8" x14ac:dyDescent="0.3">
      <c r="A157">
        <v>156</v>
      </c>
      <c r="B157" t="s">
        <v>166</v>
      </c>
      <c r="C157" s="1">
        <v>20000000</v>
      </c>
      <c r="D157" s="1">
        <v>30000000</v>
      </c>
      <c r="E157" t="s">
        <v>1</v>
      </c>
      <c r="F157" t="s">
        <v>159</v>
      </c>
      <c r="G157" s="1">
        <f t="shared" si="4"/>
        <v>200</v>
      </c>
      <c r="H157" s="1">
        <f t="shared" si="5"/>
        <v>300</v>
      </c>
    </row>
    <row r="158" spans="1:8" x14ac:dyDescent="0.3">
      <c r="A158">
        <v>157</v>
      </c>
      <c r="B158" t="s">
        <v>167</v>
      </c>
      <c r="C158" s="1">
        <v>12500000</v>
      </c>
      <c r="D158" s="1">
        <v>26000000</v>
      </c>
      <c r="E158" t="s">
        <v>1</v>
      </c>
      <c r="F158" t="s">
        <v>159</v>
      </c>
      <c r="G158" s="1">
        <f t="shared" si="4"/>
        <v>125</v>
      </c>
      <c r="H158" s="1">
        <f t="shared" si="5"/>
        <v>260</v>
      </c>
    </row>
    <row r="159" spans="1:8" x14ac:dyDescent="0.3">
      <c r="A159">
        <v>158</v>
      </c>
      <c r="B159" t="s">
        <v>168</v>
      </c>
      <c r="C159" s="1">
        <v>3000000</v>
      </c>
      <c r="D159" s="1">
        <v>26000000</v>
      </c>
      <c r="E159" t="s">
        <v>8</v>
      </c>
      <c r="F159" t="s">
        <v>159</v>
      </c>
      <c r="G159" s="1">
        <f t="shared" si="4"/>
        <v>30</v>
      </c>
      <c r="H159" s="1">
        <f t="shared" si="5"/>
        <v>260</v>
      </c>
    </row>
    <row r="160" spans="1:8" x14ac:dyDescent="0.3">
      <c r="A160">
        <v>159</v>
      </c>
      <c r="B160" t="s">
        <v>169</v>
      </c>
      <c r="C160" s="1">
        <v>20000000</v>
      </c>
      <c r="D160" s="1">
        <v>20000000</v>
      </c>
      <c r="E160" t="s">
        <v>1</v>
      </c>
      <c r="F160" t="s">
        <v>159</v>
      </c>
      <c r="G160" s="1">
        <f t="shared" si="4"/>
        <v>200</v>
      </c>
      <c r="H160" s="1">
        <f t="shared" si="5"/>
        <v>200</v>
      </c>
    </row>
    <row r="161" spans="1:8" x14ac:dyDescent="0.3">
      <c r="A161">
        <v>160</v>
      </c>
      <c r="B161" t="s">
        <v>170</v>
      </c>
      <c r="C161" s="1">
        <v>7500000</v>
      </c>
      <c r="D161" s="1">
        <v>16000000</v>
      </c>
      <c r="E161" t="s">
        <v>1</v>
      </c>
      <c r="F161" t="s">
        <v>159</v>
      </c>
      <c r="G161" s="1">
        <f t="shared" si="4"/>
        <v>75</v>
      </c>
      <c r="H161" s="1">
        <f t="shared" si="5"/>
        <v>160</v>
      </c>
    </row>
    <row r="162" spans="1:8" x14ac:dyDescent="0.3">
      <c r="A162">
        <v>161</v>
      </c>
      <c r="B162" t="s">
        <v>171</v>
      </c>
      <c r="C162" s="1">
        <v>15000000</v>
      </c>
      <c r="D162" s="1">
        <v>15000000</v>
      </c>
      <c r="E162" t="s">
        <v>1</v>
      </c>
      <c r="F162" t="s">
        <v>159</v>
      </c>
      <c r="G162" s="1">
        <f t="shared" si="4"/>
        <v>150</v>
      </c>
      <c r="H162" s="1">
        <f t="shared" si="5"/>
        <v>150</v>
      </c>
    </row>
    <row r="163" spans="1:8" x14ac:dyDescent="0.3">
      <c r="A163">
        <v>162</v>
      </c>
      <c r="B163" t="s">
        <v>172</v>
      </c>
      <c r="C163" s="1">
        <v>10000000</v>
      </c>
      <c r="D163" s="1">
        <v>10000000</v>
      </c>
      <c r="E163" t="s">
        <v>1</v>
      </c>
      <c r="F163" t="s">
        <v>159</v>
      </c>
      <c r="G163" s="1">
        <f t="shared" si="4"/>
        <v>100</v>
      </c>
      <c r="H163" s="1">
        <f t="shared" si="5"/>
        <v>100</v>
      </c>
    </row>
    <row r="164" spans="1:8" x14ac:dyDescent="0.3">
      <c r="A164">
        <v>163</v>
      </c>
      <c r="B164" t="s">
        <v>173</v>
      </c>
      <c r="C164" s="1">
        <v>3000000</v>
      </c>
      <c r="D164" s="1">
        <v>5000000</v>
      </c>
      <c r="E164" t="s">
        <v>8</v>
      </c>
      <c r="F164" t="s">
        <v>159</v>
      </c>
      <c r="G164" s="1">
        <f t="shared" si="4"/>
        <v>30</v>
      </c>
      <c r="H164" s="1">
        <f t="shared" si="5"/>
        <v>50</v>
      </c>
    </row>
    <row r="165" spans="1:8" x14ac:dyDescent="0.3">
      <c r="A165">
        <v>164</v>
      </c>
      <c r="B165" t="s">
        <v>174</v>
      </c>
      <c r="C165" s="1">
        <v>3000000</v>
      </c>
      <c r="D165" s="1">
        <v>3000000</v>
      </c>
      <c r="E165" t="s">
        <v>8</v>
      </c>
      <c r="F165" t="s">
        <v>159</v>
      </c>
      <c r="G165" s="1">
        <f t="shared" si="4"/>
        <v>30</v>
      </c>
      <c r="H165" s="1">
        <f t="shared" si="5"/>
        <v>30</v>
      </c>
    </row>
    <row r="166" spans="1:8" x14ac:dyDescent="0.3">
      <c r="A166">
        <v>165</v>
      </c>
      <c r="B166" t="s">
        <v>175</v>
      </c>
      <c r="C166" s="1">
        <v>3000000</v>
      </c>
      <c r="D166" s="1">
        <v>3000000</v>
      </c>
      <c r="E166" t="s">
        <v>8</v>
      </c>
      <c r="F166" t="s">
        <v>159</v>
      </c>
      <c r="G166" s="1">
        <f t="shared" si="4"/>
        <v>30</v>
      </c>
      <c r="H166" s="1">
        <f t="shared" si="5"/>
        <v>30</v>
      </c>
    </row>
    <row r="167" spans="1:8" x14ac:dyDescent="0.3">
      <c r="A167">
        <v>166</v>
      </c>
      <c r="B167" t="s">
        <v>176</v>
      </c>
      <c r="C167" s="1">
        <v>3000000</v>
      </c>
      <c r="D167" s="1">
        <v>3000000</v>
      </c>
      <c r="E167" t="s">
        <v>8</v>
      </c>
      <c r="F167" t="s">
        <v>159</v>
      </c>
      <c r="G167" s="1">
        <f t="shared" si="4"/>
        <v>30</v>
      </c>
      <c r="H167" s="1">
        <f t="shared" si="5"/>
        <v>30</v>
      </c>
    </row>
    <row r="168" spans="1:8" x14ac:dyDescent="0.3">
      <c r="A168">
        <v>167</v>
      </c>
      <c r="B168" t="s">
        <v>177</v>
      </c>
      <c r="C168" s="1">
        <v>3000000</v>
      </c>
      <c r="D168" s="1">
        <v>3000000</v>
      </c>
      <c r="E168" t="s">
        <v>8</v>
      </c>
      <c r="F168" t="s">
        <v>159</v>
      </c>
      <c r="G168" s="1">
        <f t="shared" si="4"/>
        <v>30</v>
      </c>
      <c r="H168" s="1">
        <f t="shared" si="5"/>
        <v>30</v>
      </c>
    </row>
    <row r="169" spans="1:8" x14ac:dyDescent="0.3">
      <c r="A169">
        <v>168</v>
      </c>
      <c r="B169" t="s">
        <v>178</v>
      </c>
      <c r="C169" s="1">
        <v>20000000</v>
      </c>
      <c r="D169" s="1">
        <v>112500000</v>
      </c>
      <c r="E169" t="s">
        <v>1</v>
      </c>
      <c r="F169" t="s">
        <v>179</v>
      </c>
      <c r="G169" s="1">
        <f t="shared" si="4"/>
        <v>200</v>
      </c>
      <c r="H169" s="1">
        <f t="shared" si="5"/>
        <v>1125</v>
      </c>
    </row>
    <row r="170" spans="1:8" x14ac:dyDescent="0.3">
      <c r="A170">
        <v>169</v>
      </c>
      <c r="B170" t="s">
        <v>180</v>
      </c>
      <c r="C170" s="1">
        <v>20000000</v>
      </c>
      <c r="D170" s="1">
        <v>100000000</v>
      </c>
      <c r="E170" t="s">
        <v>1</v>
      </c>
      <c r="F170" t="s">
        <v>179</v>
      </c>
      <c r="G170" s="1">
        <f t="shared" si="4"/>
        <v>200</v>
      </c>
      <c r="H170" s="1">
        <f t="shared" si="5"/>
        <v>1000</v>
      </c>
    </row>
    <row r="171" spans="1:8" x14ac:dyDescent="0.3">
      <c r="A171">
        <v>170</v>
      </c>
      <c r="B171" t="s">
        <v>181</v>
      </c>
      <c r="C171" s="1">
        <v>20000000</v>
      </c>
      <c r="D171" s="1">
        <v>80000000</v>
      </c>
      <c r="E171" t="s">
        <v>1</v>
      </c>
      <c r="F171" t="s">
        <v>179</v>
      </c>
      <c r="G171" s="1">
        <f t="shared" si="4"/>
        <v>200</v>
      </c>
      <c r="H171" s="1">
        <f t="shared" si="5"/>
        <v>800</v>
      </c>
    </row>
    <row r="172" spans="1:8" x14ac:dyDescent="0.3">
      <c r="A172">
        <v>171</v>
      </c>
      <c r="B172" t="s">
        <v>182</v>
      </c>
      <c r="C172" s="1">
        <v>3000000</v>
      </c>
      <c r="D172" s="1">
        <v>32000000</v>
      </c>
      <c r="E172" t="s">
        <v>8</v>
      </c>
      <c r="F172" t="s">
        <v>179</v>
      </c>
      <c r="G172" s="1">
        <f t="shared" si="4"/>
        <v>30</v>
      </c>
      <c r="H172" s="1">
        <f t="shared" si="5"/>
        <v>320</v>
      </c>
    </row>
    <row r="173" spans="1:8" x14ac:dyDescent="0.3">
      <c r="A173">
        <v>172</v>
      </c>
      <c r="B173" t="s">
        <v>183</v>
      </c>
      <c r="C173" s="1">
        <v>10000000</v>
      </c>
      <c r="D173" s="1">
        <v>32000000</v>
      </c>
      <c r="E173" t="s">
        <v>1</v>
      </c>
      <c r="F173" t="s">
        <v>179</v>
      </c>
      <c r="G173" s="1">
        <f t="shared" si="4"/>
        <v>100</v>
      </c>
      <c r="H173" s="1">
        <f t="shared" si="5"/>
        <v>320</v>
      </c>
    </row>
    <row r="174" spans="1:8" x14ac:dyDescent="0.3">
      <c r="A174">
        <v>173</v>
      </c>
      <c r="B174" t="s">
        <v>184</v>
      </c>
      <c r="C174" s="1">
        <v>20000000</v>
      </c>
      <c r="D174" s="1">
        <v>24000000</v>
      </c>
      <c r="E174" t="s">
        <v>1</v>
      </c>
      <c r="F174" t="s">
        <v>179</v>
      </c>
      <c r="G174" s="1">
        <f t="shared" si="4"/>
        <v>200</v>
      </c>
      <c r="H174" s="1">
        <f t="shared" si="5"/>
        <v>240</v>
      </c>
    </row>
    <row r="175" spans="1:8" x14ac:dyDescent="0.3">
      <c r="A175">
        <v>174</v>
      </c>
      <c r="B175" t="s">
        <v>185</v>
      </c>
      <c r="C175" s="1">
        <v>3000000</v>
      </c>
      <c r="D175" s="1">
        <v>15000000</v>
      </c>
      <c r="E175" t="s">
        <v>8</v>
      </c>
      <c r="F175" t="s">
        <v>179</v>
      </c>
      <c r="G175" s="1">
        <f t="shared" si="4"/>
        <v>30</v>
      </c>
      <c r="H175" s="1">
        <f t="shared" si="5"/>
        <v>150</v>
      </c>
    </row>
    <row r="176" spans="1:8" x14ac:dyDescent="0.3">
      <c r="A176">
        <v>175</v>
      </c>
      <c r="B176" t="s">
        <v>186</v>
      </c>
      <c r="C176" s="1">
        <v>3000000</v>
      </c>
      <c r="D176" s="1">
        <v>12000000</v>
      </c>
      <c r="E176" t="s">
        <v>8</v>
      </c>
      <c r="F176" t="s">
        <v>179</v>
      </c>
      <c r="G176" s="1">
        <f t="shared" si="4"/>
        <v>30</v>
      </c>
      <c r="H176" s="1">
        <f t="shared" si="5"/>
        <v>120</v>
      </c>
    </row>
    <row r="177" spans="1:8" x14ac:dyDescent="0.3">
      <c r="A177">
        <v>176</v>
      </c>
      <c r="B177" t="s">
        <v>187</v>
      </c>
      <c r="C177" s="1">
        <v>10000000</v>
      </c>
      <c r="D177" s="1">
        <v>10000000</v>
      </c>
      <c r="E177" t="s">
        <v>1</v>
      </c>
      <c r="F177" t="s">
        <v>179</v>
      </c>
      <c r="G177" s="1">
        <f t="shared" si="4"/>
        <v>100</v>
      </c>
      <c r="H177" s="1">
        <f t="shared" si="5"/>
        <v>100</v>
      </c>
    </row>
    <row r="178" spans="1:8" x14ac:dyDescent="0.3">
      <c r="A178">
        <v>177</v>
      </c>
      <c r="B178" t="s">
        <v>188</v>
      </c>
      <c r="C178" s="1">
        <v>10000000</v>
      </c>
      <c r="D178" s="1">
        <v>10000000</v>
      </c>
      <c r="E178" t="s">
        <v>1</v>
      </c>
      <c r="F178" t="s">
        <v>179</v>
      </c>
      <c r="G178" s="1">
        <f t="shared" si="4"/>
        <v>100</v>
      </c>
      <c r="H178" s="1">
        <f t="shared" si="5"/>
        <v>100</v>
      </c>
    </row>
    <row r="179" spans="1:8" x14ac:dyDescent="0.3">
      <c r="A179">
        <v>178</v>
      </c>
      <c r="B179" t="s">
        <v>189</v>
      </c>
      <c r="C179" s="1">
        <v>7500000</v>
      </c>
      <c r="D179" s="1">
        <v>7500000</v>
      </c>
      <c r="E179" t="s">
        <v>1</v>
      </c>
      <c r="F179" t="s">
        <v>179</v>
      </c>
      <c r="G179" s="1">
        <f t="shared" si="4"/>
        <v>75</v>
      </c>
      <c r="H179" s="1">
        <f t="shared" si="5"/>
        <v>75</v>
      </c>
    </row>
    <row r="180" spans="1:8" x14ac:dyDescent="0.3">
      <c r="A180">
        <v>179</v>
      </c>
      <c r="B180" t="s">
        <v>190</v>
      </c>
      <c r="C180" s="1">
        <v>3000000</v>
      </c>
      <c r="D180" s="1">
        <v>4000000</v>
      </c>
      <c r="E180" t="s">
        <v>8</v>
      </c>
      <c r="F180" t="s">
        <v>179</v>
      </c>
      <c r="G180" s="1">
        <f t="shared" si="4"/>
        <v>30</v>
      </c>
      <c r="H180" s="1">
        <f t="shared" si="5"/>
        <v>40</v>
      </c>
    </row>
    <row r="181" spans="1:8" x14ac:dyDescent="0.3">
      <c r="A181">
        <v>180</v>
      </c>
      <c r="B181" t="s">
        <v>191</v>
      </c>
      <c r="C181" s="1">
        <v>3000000</v>
      </c>
      <c r="D181" s="1">
        <v>3000000</v>
      </c>
      <c r="E181" t="s">
        <v>8</v>
      </c>
      <c r="F181" t="s">
        <v>179</v>
      </c>
      <c r="G181" s="1">
        <f t="shared" si="4"/>
        <v>30</v>
      </c>
      <c r="H181" s="1">
        <f t="shared" si="5"/>
        <v>30</v>
      </c>
    </row>
    <row r="182" spans="1:8" x14ac:dyDescent="0.3">
      <c r="A182">
        <v>181</v>
      </c>
      <c r="B182" t="s">
        <v>192</v>
      </c>
      <c r="C182" s="1">
        <v>3000000</v>
      </c>
      <c r="D182" s="1">
        <v>3000000</v>
      </c>
      <c r="E182" t="s">
        <v>8</v>
      </c>
      <c r="F182" t="s">
        <v>179</v>
      </c>
      <c r="G182" s="1">
        <f t="shared" si="4"/>
        <v>30</v>
      </c>
      <c r="H182" s="1">
        <f t="shared" si="5"/>
        <v>30</v>
      </c>
    </row>
    <row r="183" spans="1:8" x14ac:dyDescent="0.3">
      <c r="A183">
        <v>182</v>
      </c>
      <c r="B183" t="s">
        <v>193</v>
      </c>
      <c r="C183" s="1">
        <v>3000000</v>
      </c>
      <c r="D183" s="1">
        <v>3000000</v>
      </c>
      <c r="E183" t="s">
        <v>8</v>
      </c>
      <c r="F183" t="s">
        <v>179</v>
      </c>
      <c r="G183" s="1">
        <f t="shared" si="4"/>
        <v>30</v>
      </c>
      <c r="H183" s="1">
        <f t="shared" si="5"/>
        <v>30</v>
      </c>
    </row>
    <row r="184" spans="1:8" x14ac:dyDescent="0.3">
      <c r="G184" s="1"/>
    </row>
  </sheetData>
  <autoFilter ref="B1:F183"/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workbookViewId="0">
      <selection activeCell="G17" sqref="G17"/>
    </sheetView>
  </sheetViews>
  <sheetFormatPr defaultRowHeight="14.4" x14ac:dyDescent="0.3"/>
  <cols>
    <col min="1" max="1" width="5.5546875" bestFit="1" customWidth="1"/>
    <col min="2" max="2" width="22" bestFit="1" customWidth="1"/>
    <col min="3" max="3" width="10" bestFit="1" customWidth="1"/>
    <col min="4" max="4" width="13.109375" bestFit="1" customWidth="1"/>
    <col min="5" max="5" width="15.88671875" style="1" bestFit="1" customWidth="1"/>
    <col min="6" max="6" width="24.21875" bestFit="1" customWidth="1"/>
    <col min="7" max="7" width="13.77734375" bestFit="1" customWidth="1"/>
  </cols>
  <sheetData>
    <row r="1" spans="1:7" x14ac:dyDescent="0.3">
      <c r="A1" t="s">
        <v>202</v>
      </c>
      <c r="B1" t="s">
        <v>203</v>
      </c>
      <c r="C1" t="s">
        <v>204</v>
      </c>
      <c r="D1" t="s">
        <v>205</v>
      </c>
      <c r="E1" s="1" t="s">
        <v>206</v>
      </c>
      <c r="F1" t="s">
        <v>198</v>
      </c>
      <c r="G1" t="s">
        <v>207</v>
      </c>
    </row>
    <row r="2" spans="1:7" x14ac:dyDescent="0.3">
      <c r="A2">
        <v>1</v>
      </c>
      <c r="B2" t="s">
        <v>208</v>
      </c>
      <c r="C2" t="s">
        <v>209</v>
      </c>
      <c r="D2" t="s">
        <v>210</v>
      </c>
      <c r="E2" s="1">
        <v>2000000</v>
      </c>
      <c r="F2" t="s">
        <v>2</v>
      </c>
      <c r="G2">
        <f>E2/100000</f>
        <v>20</v>
      </c>
    </row>
    <row r="3" spans="1:7" x14ac:dyDescent="0.3">
      <c r="A3">
        <v>2</v>
      </c>
      <c r="B3" t="s">
        <v>211</v>
      </c>
      <c r="C3" t="s">
        <v>212</v>
      </c>
      <c r="D3" t="s">
        <v>213</v>
      </c>
      <c r="E3" s="1">
        <v>20000000</v>
      </c>
      <c r="F3" t="s">
        <v>2</v>
      </c>
      <c r="G3">
        <f t="shared" ref="G3:G66" si="0">E3/100000</f>
        <v>200</v>
      </c>
    </row>
    <row r="4" spans="1:7" x14ac:dyDescent="0.3">
      <c r="A4">
        <v>3</v>
      </c>
      <c r="B4" t="s">
        <v>214</v>
      </c>
      <c r="C4" t="s">
        <v>212</v>
      </c>
      <c r="D4" t="s">
        <v>215</v>
      </c>
      <c r="E4" s="1">
        <v>140000000</v>
      </c>
      <c r="F4" t="s">
        <v>2</v>
      </c>
      <c r="G4">
        <f t="shared" si="0"/>
        <v>1400</v>
      </c>
    </row>
    <row r="5" spans="1:7" x14ac:dyDescent="0.3">
      <c r="A5">
        <v>4</v>
      </c>
      <c r="B5" t="s">
        <v>33</v>
      </c>
      <c r="C5" t="s">
        <v>209</v>
      </c>
      <c r="D5" t="s">
        <v>216</v>
      </c>
      <c r="E5" s="1">
        <v>84000000</v>
      </c>
      <c r="F5" t="s">
        <v>2</v>
      </c>
      <c r="G5">
        <f t="shared" si="0"/>
        <v>840</v>
      </c>
    </row>
    <row r="6" spans="1:7" x14ac:dyDescent="0.3">
      <c r="A6">
        <v>5</v>
      </c>
      <c r="B6" t="s">
        <v>6</v>
      </c>
      <c r="C6" t="s">
        <v>212</v>
      </c>
      <c r="D6" t="s">
        <v>215</v>
      </c>
      <c r="E6" s="1">
        <v>18000000</v>
      </c>
      <c r="F6" t="s">
        <v>2</v>
      </c>
      <c r="G6">
        <f t="shared" si="0"/>
        <v>180</v>
      </c>
    </row>
    <row r="7" spans="1:7" x14ac:dyDescent="0.3">
      <c r="A7">
        <v>6</v>
      </c>
      <c r="B7" t="s">
        <v>217</v>
      </c>
      <c r="C7" t="s">
        <v>209</v>
      </c>
      <c r="D7" t="s">
        <v>215</v>
      </c>
      <c r="E7" s="1">
        <v>40000000</v>
      </c>
      <c r="F7" t="s">
        <v>2</v>
      </c>
      <c r="G7">
        <f t="shared" si="0"/>
        <v>400</v>
      </c>
    </row>
    <row r="8" spans="1:7" x14ac:dyDescent="0.3">
      <c r="A8">
        <v>7</v>
      </c>
      <c r="B8" t="s">
        <v>218</v>
      </c>
      <c r="C8" t="s">
        <v>209</v>
      </c>
      <c r="D8" t="s">
        <v>210</v>
      </c>
      <c r="E8" s="1">
        <v>2000000</v>
      </c>
      <c r="F8" t="s">
        <v>24</v>
      </c>
      <c r="G8">
        <f t="shared" si="0"/>
        <v>20</v>
      </c>
    </row>
    <row r="9" spans="1:7" x14ac:dyDescent="0.3">
      <c r="A9">
        <v>8</v>
      </c>
      <c r="B9" t="s">
        <v>219</v>
      </c>
      <c r="C9" t="s">
        <v>209</v>
      </c>
      <c r="D9" t="s">
        <v>215</v>
      </c>
      <c r="E9" s="1">
        <v>10000000</v>
      </c>
      <c r="F9" t="s">
        <v>24</v>
      </c>
      <c r="G9">
        <f t="shared" si="0"/>
        <v>100</v>
      </c>
    </row>
    <row r="10" spans="1:7" x14ac:dyDescent="0.3">
      <c r="A10">
        <v>9</v>
      </c>
      <c r="B10" t="s">
        <v>176</v>
      </c>
      <c r="C10" t="s">
        <v>209</v>
      </c>
      <c r="D10" t="s">
        <v>216</v>
      </c>
      <c r="E10" s="1">
        <v>2000000</v>
      </c>
      <c r="F10" t="s">
        <v>24</v>
      </c>
      <c r="G10">
        <f t="shared" si="0"/>
        <v>20</v>
      </c>
    </row>
    <row r="11" spans="1:7" x14ac:dyDescent="0.3">
      <c r="A11">
        <v>10</v>
      </c>
      <c r="B11" t="s">
        <v>220</v>
      </c>
      <c r="C11" t="s">
        <v>212</v>
      </c>
      <c r="D11" t="s">
        <v>213</v>
      </c>
      <c r="E11" s="1">
        <v>50000000</v>
      </c>
      <c r="F11" t="s">
        <v>24</v>
      </c>
      <c r="G11">
        <f t="shared" si="0"/>
        <v>500</v>
      </c>
    </row>
    <row r="12" spans="1:7" x14ac:dyDescent="0.3">
      <c r="A12">
        <v>11</v>
      </c>
      <c r="B12" t="s">
        <v>221</v>
      </c>
      <c r="C12" t="s">
        <v>212</v>
      </c>
      <c r="D12" t="s">
        <v>210</v>
      </c>
      <c r="E12" s="1">
        <v>7500000</v>
      </c>
      <c r="F12" t="s">
        <v>24</v>
      </c>
      <c r="G12">
        <f t="shared" si="0"/>
        <v>75</v>
      </c>
    </row>
    <row r="13" spans="1:7" x14ac:dyDescent="0.3">
      <c r="A13">
        <v>12</v>
      </c>
      <c r="B13" t="s">
        <v>164</v>
      </c>
      <c r="C13" t="s">
        <v>209</v>
      </c>
      <c r="D13" t="s">
        <v>213</v>
      </c>
      <c r="E13" s="1">
        <v>2000000</v>
      </c>
      <c r="F13" t="s">
        <v>24</v>
      </c>
      <c r="G13">
        <f t="shared" si="0"/>
        <v>20</v>
      </c>
    </row>
    <row r="14" spans="1:7" x14ac:dyDescent="0.3">
      <c r="A14">
        <v>13</v>
      </c>
      <c r="B14" t="s">
        <v>59</v>
      </c>
      <c r="C14" t="s">
        <v>209</v>
      </c>
      <c r="D14" t="s">
        <v>210</v>
      </c>
      <c r="E14" s="1">
        <v>72000000</v>
      </c>
      <c r="F14" t="s">
        <v>24</v>
      </c>
      <c r="G14">
        <f t="shared" si="0"/>
        <v>720</v>
      </c>
    </row>
    <row r="15" spans="1:7" x14ac:dyDescent="0.3">
      <c r="A15">
        <v>14</v>
      </c>
      <c r="B15" t="s">
        <v>222</v>
      </c>
      <c r="C15" t="s">
        <v>212</v>
      </c>
      <c r="D15" t="s">
        <v>210</v>
      </c>
      <c r="E15" s="1">
        <v>5000000</v>
      </c>
      <c r="F15" t="s">
        <v>24</v>
      </c>
      <c r="G15">
        <f t="shared" si="0"/>
        <v>50</v>
      </c>
    </row>
    <row r="16" spans="1:7" x14ac:dyDescent="0.3">
      <c r="A16">
        <v>15</v>
      </c>
      <c r="B16" t="s">
        <v>29</v>
      </c>
      <c r="C16" t="s">
        <v>212</v>
      </c>
      <c r="D16" t="s">
        <v>216</v>
      </c>
      <c r="E16" s="1">
        <v>40000000</v>
      </c>
      <c r="F16" t="s">
        <v>24</v>
      </c>
      <c r="G16">
        <f t="shared" si="0"/>
        <v>400</v>
      </c>
    </row>
    <row r="17" spans="1:7" x14ac:dyDescent="0.3">
      <c r="A17">
        <v>16</v>
      </c>
      <c r="B17" t="s">
        <v>223</v>
      </c>
      <c r="C17" t="s">
        <v>209</v>
      </c>
      <c r="D17" t="s">
        <v>213</v>
      </c>
      <c r="E17" s="1">
        <v>6000000</v>
      </c>
      <c r="F17" t="s">
        <v>44</v>
      </c>
      <c r="G17">
        <f t="shared" si="0"/>
        <v>60</v>
      </c>
    </row>
    <row r="18" spans="1:7" x14ac:dyDescent="0.3">
      <c r="A18">
        <v>17</v>
      </c>
      <c r="B18" t="s">
        <v>69</v>
      </c>
      <c r="C18" t="s">
        <v>212</v>
      </c>
      <c r="D18" t="s">
        <v>213</v>
      </c>
      <c r="E18" s="1">
        <v>100000000</v>
      </c>
      <c r="F18" t="s">
        <v>44</v>
      </c>
      <c r="G18">
        <f t="shared" si="0"/>
        <v>1000</v>
      </c>
    </row>
    <row r="19" spans="1:7" x14ac:dyDescent="0.3">
      <c r="A19">
        <v>18</v>
      </c>
      <c r="B19" t="s">
        <v>61</v>
      </c>
      <c r="C19" t="s">
        <v>209</v>
      </c>
      <c r="D19" t="s">
        <v>213</v>
      </c>
      <c r="E19" s="1">
        <v>2000000</v>
      </c>
      <c r="F19" t="s">
        <v>44</v>
      </c>
      <c r="G19">
        <f t="shared" si="0"/>
        <v>20</v>
      </c>
    </row>
    <row r="20" spans="1:7" x14ac:dyDescent="0.3">
      <c r="A20">
        <v>19</v>
      </c>
      <c r="B20" t="s">
        <v>110</v>
      </c>
      <c r="C20" t="s">
        <v>209</v>
      </c>
      <c r="D20" t="s">
        <v>210</v>
      </c>
      <c r="E20" s="1">
        <v>36000000</v>
      </c>
      <c r="F20" t="s">
        <v>44</v>
      </c>
      <c r="G20">
        <f t="shared" si="0"/>
        <v>360</v>
      </c>
    </row>
    <row r="21" spans="1:7" x14ac:dyDescent="0.3">
      <c r="A21">
        <v>20</v>
      </c>
      <c r="B21" t="s">
        <v>224</v>
      </c>
      <c r="C21" t="s">
        <v>209</v>
      </c>
      <c r="D21" t="s">
        <v>213</v>
      </c>
      <c r="E21" s="1">
        <v>22000000</v>
      </c>
      <c r="F21" t="s">
        <v>44</v>
      </c>
      <c r="G21">
        <f t="shared" si="0"/>
        <v>220</v>
      </c>
    </row>
    <row r="22" spans="1:7" x14ac:dyDescent="0.3">
      <c r="A22">
        <v>21</v>
      </c>
      <c r="B22" t="s">
        <v>129</v>
      </c>
      <c r="C22" t="s">
        <v>212</v>
      </c>
      <c r="D22" t="s">
        <v>215</v>
      </c>
      <c r="E22" s="1">
        <v>5000000</v>
      </c>
      <c r="F22" t="s">
        <v>44</v>
      </c>
      <c r="G22">
        <f t="shared" si="0"/>
        <v>50</v>
      </c>
    </row>
    <row r="23" spans="1:7" x14ac:dyDescent="0.3">
      <c r="A23">
        <v>22</v>
      </c>
      <c r="B23" t="s">
        <v>225</v>
      </c>
      <c r="C23" t="s">
        <v>209</v>
      </c>
      <c r="D23" t="s">
        <v>215</v>
      </c>
      <c r="E23" s="1">
        <v>74000000</v>
      </c>
      <c r="F23" t="s">
        <v>44</v>
      </c>
      <c r="G23">
        <f t="shared" si="0"/>
        <v>740</v>
      </c>
    </row>
    <row r="24" spans="1:7" x14ac:dyDescent="0.3">
      <c r="A24">
        <v>23</v>
      </c>
      <c r="B24" t="s">
        <v>226</v>
      </c>
      <c r="C24" t="s">
        <v>209</v>
      </c>
      <c r="D24" t="s">
        <v>213</v>
      </c>
      <c r="E24" s="1">
        <v>58000000</v>
      </c>
      <c r="F24" t="s">
        <v>44</v>
      </c>
      <c r="G24">
        <f t="shared" si="0"/>
        <v>580</v>
      </c>
    </row>
    <row r="25" spans="1:7" x14ac:dyDescent="0.3">
      <c r="A25">
        <v>24</v>
      </c>
      <c r="B25" t="s">
        <v>227</v>
      </c>
      <c r="C25" t="s">
        <v>212</v>
      </c>
      <c r="D25" t="s">
        <v>213</v>
      </c>
      <c r="E25" s="1">
        <v>20000000</v>
      </c>
      <c r="F25" t="s">
        <v>65</v>
      </c>
      <c r="G25">
        <f t="shared" si="0"/>
        <v>200</v>
      </c>
    </row>
    <row r="26" spans="1:7" x14ac:dyDescent="0.3">
      <c r="A26">
        <v>25</v>
      </c>
      <c r="B26" t="s">
        <v>76</v>
      </c>
      <c r="C26" t="s">
        <v>209</v>
      </c>
      <c r="D26" t="s">
        <v>216</v>
      </c>
      <c r="E26" s="1">
        <v>5000000</v>
      </c>
      <c r="F26" t="s">
        <v>65</v>
      </c>
      <c r="G26">
        <f t="shared" si="0"/>
        <v>50</v>
      </c>
    </row>
    <row r="27" spans="1:7" x14ac:dyDescent="0.3">
      <c r="A27">
        <v>26</v>
      </c>
      <c r="B27" t="s">
        <v>228</v>
      </c>
      <c r="C27" t="s">
        <v>212</v>
      </c>
      <c r="D27" t="s">
        <v>213</v>
      </c>
      <c r="E27" s="1">
        <v>10000000</v>
      </c>
      <c r="F27" t="s">
        <v>65</v>
      </c>
      <c r="G27">
        <f t="shared" si="0"/>
        <v>100</v>
      </c>
    </row>
    <row r="28" spans="1:7" x14ac:dyDescent="0.3">
      <c r="A28">
        <v>27</v>
      </c>
      <c r="B28" t="s">
        <v>68</v>
      </c>
      <c r="C28" t="s">
        <v>209</v>
      </c>
      <c r="D28" t="s">
        <v>216</v>
      </c>
      <c r="E28" s="1">
        <v>2000000</v>
      </c>
      <c r="F28" t="s">
        <v>65</v>
      </c>
      <c r="G28">
        <f t="shared" si="0"/>
        <v>20</v>
      </c>
    </row>
    <row r="29" spans="1:7" x14ac:dyDescent="0.3">
      <c r="A29">
        <v>28</v>
      </c>
      <c r="B29" t="s">
        <v>25</v>
      </c>
      <c r="C29" t="s">
        <v>212</v>
      </c>
      <c r="D29" t="s">
        <v>213</v>
      </c>
      <c r="E29" s="1">
        <v>247500000</v>
      </c>
      <c r="F29" t="s">
        <v>65</v>
      </c>
      <c r="G29">
        <f t="shared" si="0"/>
        <v>2475</v>
      </c>
    </row>
    <row r="30" spans="1:7" x14ac:dyDescent="0.3">
      <c r="A30">
        <v>29</v>
      </c>
      <c r="B30" t="s">
        <v>49</v>
      </c>
      <c r="C30" t="s">
        <v>212</v>
      </c>
      <c r="D30" t="s">
        <v>216</v>
      </c>
      <c r="E30" s="1">
        <v>15000000</v>
      </c>
      <c r="F30" t="s">
        <v>65</v>
      </c>
      <c r="G30">
        <f t="shared" si="0"/>
        <v>150</v>
      </c>
    </row>
    <row r="31" spans="1:7" x14ac:dyDescent="0.3">
      <c r="A31">
        <v>30</v>
      </c>
      <c r="B31" t="s">
        <v>229</v>
      </c>
      <c r="C31" t="s">
        <v>209</v>
      </c>
      <c r="D31" t="s">
        <v>215</v>
      </c>
      <c r="E31" s="1">
        <v>2000000</v>
      </c>
      <c r="F31" t="s">
        <v>65</v>
      </c>
      <c r="G31">
        <f t="shared" si="0"/>
        <v>20</v>
      </c>
    </row>
    <row r="32" spans="1:7" x14ac:dyDescent="0.3">
      <c r="A32">
        <v>31</v>
      </c>
      <c r="B32" t="s">
        <v>230</v>
      </c>
      <c r="C32" t="s">
        <v>209</v>
      </c>
      <c r="D32" t="s">
        <v>210</v>
      </c>
      <c r="E32" s="1">
        <v>5000000</v>
      </c>
      <c r="F32" t="s">
        <v>65</v>
      </c>
      <c r="G32">
        <f t="shared" si="0"/>
        <v>50</v>
      </c>
    </row>
    <row r="33" spans="1:7" x14ac:dyDescent="0.3">
      <c r="A33">
        <v>32</v>
      </c>
      <c r="B33" t="s">
        <v>231</v>
      </c>
      <c r="C33" t="s">
        <v>209</v>
      </c>
      <c r="D33" t="s">
        <v>213</v>
      </c>
      <c r="E33" s="1">
        <v>5000000</v>
      </c>
      <c r="F33" t="s">
        <v>65</v>
      </c>
      <c r="G33">
        <f t="shared" si="0"/>
        <v>50</v>
      </c>
    </row>
    <row r="34" spans="1:7" x14ac:dyDescent="0.3">
      <c r="A34">
        <v>33</v>
      </c>
      <c r="B34" t="s">
        <v>232</v>
      </c>
      <c r="C34" t="s">
        <v>209</v>
      </c>
      <c r="D34" t="s">
        <v>213</v>
      </c>
      <c r="E34" s="1">
        <v>2000000</v>
      </c>
      <c r="F34" t="s">
        <v>65</v>
      </c>
      <c r="G34">
        <f t="shared" si="0"/>
        <v>20</v>
      </c>
    </row>
    <row r="35" spans="1:7" x14ac:dyDescent="0.3">
      <c r="A35">
        <v>34</v>
      </c>
      <c r="B35" t="s">
        <v>233</v>
      </c>
      <c r="C35" t="s">
        <v>212</v>
      </c>
      <c r="D35" t="s">
        <v>216</v>
      </c>
      <c r="E35" s="1">
        <v>10000000</v>
      </c>
      <c r="F35" t="s">
        <v>81</v>
      </c>
      <c r="G35">
        <f t="shared" si="0"/>
        <v>100</v>
      </c>
    </row>
    <row r="36" spans="1:7" x14ac:dyDescent="0.3">
      <c r="A36">
        <v>35</v>
      </c>
      <c r="B36" t="s">
        <v>234</v>
      </c>
      <c r="C36" t="s">
        <v>212</v>
      </c>
      <c r="D36" t="s">
        <v>215</v>
      </c>
      <c r="E36" s="1">
        <v>20000000</v>
      </c>
      <c r="F36" t="s">
        <v>81</v>
      </c>
      <c r="G36">
        <f t="shared" si="0"/>
        <v>200</v>
      </c>
    </row>
    <row r="37" spans="1:7" x14ac:dyDescent="0.3">
      <c r="A37">
        <v>36</v>
      </c>
      <c r="B37" t="s">
        <v>91</v>
      </c>
      <c r="C37" t="s">
        <v>209</v>
      </c>
      <c r="D37" t="s">
        <v>213</v>
      </c>
      <c r="E37" s="1">
        <v>24000000</v>
      </c>
      <c r="F37" t="s">
        <v>81</v>
      </c>
      <c r="G37">
        <f t="shared" si="0"/>
        <v>240</v>
      </c>
    </row>
    <row r="38" spans="1:7" x14ac:dyDescent="0.3">
      <c r="A38">
        <v>37</v>
      </c>
      <c r="B38" t="s">
        <v>235</v>
      </c>
      <c r="C38" t="s">
        <v>209</v>
      </c>
      <c r="D38" t="s">
        <v>213</v>
      </c>
      <c r="E38" s="1">
        <v>64000000</v>
      </c>
      <c r="F38" t="s">
        <v>81</v>
      </c>
      <c r="G38">
        <f t="shared" si="0"/>
        <v>640</v>
      </c>
    </row>
    <row r="39" spans="1:7" x14ac:dyDescent="0.3">
      <c r="A39">
        <v>38</v>
      </c>
      <c r="B39" t="s">
        <v>92</v>
      </c>
      <c r="C39" t="s">
        <v>209</v>
      </c>
      <c r="D39" t="s">
        <v>215</v>
      </c>
      <c r="E39" s="1">
        <v>2000000</v>
      </c>
      <c r="F39" t="s">
        <v>81</v>
      </c>
      <c r="G39">
        <f t="shared" si="0"/>
        <v>20</v>
      </c>
    </row>
    <row r="40" spans="1:7" x14ac:dyDescent="0.3">
      <c r="A40">
        <v>39</v>
      </c>
      <c r="B40" t="s">
        <v>55</v>
      </c>
      <c r="C40" t="s">
        <v>209</v>
      </c>
      <c r="D40" t="s">
        <v>215</v>
      </c>
      <c r="E40" s="1">
        <v>2000000</v>
      </c>
      <c r="F40" t="s">
        <v>81</v>
      </c>
      <c r="G40">
        <f t="shared" si="0"/>
        <v>20</v>
      </c>
    </row>
    <row r="41" spans="1:7" x14ac:dyDescent="0.3">
      <c r="A41">
        <v>40</v>
      </c>
      <c r="B41" t="s">
        <v>236</v>
      </c>
      <c r="C41" t="s">
        <v>212</v>
      </c>
      <c r="D41" t="s">
        <v>213</v>
      </c>
      <c r="E41" s="1">
        <v>46000000</v>
      </c>
      <c r="F41" t="s">
        <v>101</v>
      </c>
      <c r="G41">
        <f t="shared" si="0"/>
        <v>460</v>
      </c>
    </row>
    <row r="42" spans="1:7" x14ac:dyDescent="0.3">
      <c r="A42">
        <v>41</v>
      </c>
      <c r="B42" t="s">
        <v>18</v>
      </c>
      <c r="C42" t="s">
        <v>209</v>
      </c>
      <c r="D42" t="s">
        <v>213</v>
      </c>
      <c r="E42" s="1">
        <v>2000000</v>
      </c>
      <c r="F42" t="s">
        <v>101</v>
      </c>
      <c r="G42">
        <f t="shared" si="0"/>
        <v>20</v>
      </c>
    </row>
    <row r="43" spans="1:7" x14ac:dyDescent="0.3">
      <c r="A43">
        <v>42</v>
      </c>
      <c r="B43" t="s">
        <v>237</v>
      </c>
      <c r="C43" t="s">
        <v>209</v>
      </c>
      <c r="D43" t="s">
        <v>215</v>
      </c>
      <c r="E43" s="1">
        <v>2000000</v>
      </c>
      <c r="F43" t="s">
        <v>101</v>
      </c>
      <c r="G43">
        <f t="shared" si="0"/>
        <v>20</v>
      </c>
    </row>
    <row r="44" spans="1:7" x14ac:dyDescent="0.3">
      <c r="A44">
        <v>43</v>
      </c>
      <c r="B44" t="s">
        <v>7</v>
      </c>
      <c r="C44" t="s">
        <v>209</v>
      </c>
      <c r="D44" t="s">
        <v>215</v>
      </c>
      <c r="E44" s="1">
        <v>2000000</v>
      </c>
      <c r="F44" t="s">
        <v>101</v>
      </c>
      <c r="G44">
        <f t="shared" si="0"/>
        <v>20</v>
      </c>
    </row>
    <row r="45" spans="1:7" x14ac:dyDescent="0.3">
      <c r="A45">
        <v>44</v>
      </c>
      <c r="B45" t="s">
        <v>238</v>
      </c>
      <c r="C45" t="s">
        <v>212</v>
      </c>
      <c r="D45" t="s">
        <v>215</v>
      </c>
      <c r="E45" s="1">
        <v>15000000</v>
      </c>
      <c r="F45" t="s">
        <v>101</v>
      </c>
      <c r="G45">
        <f t="shared" si="0"/>
        <v>150</v>
      </c>
    </row>
    <row r="46" spans="1:7" x14ac:dyDescent="0.3">
      <c r="A46">
        <v>45</v>
      </c>
      <c r="B46" t="s">
        <v>104</v>
      </c>
      <c r="C46" t="s">
        <v>209</v>
      </c>
      <c r="D46" t="s">
        <v>215</v>
      </c>
      <c r="E46" s="1">
        <v>2000000</v>
      </c>
      <c r="F46" t="s">
        <v>101</v>
      </c>
      <c r="G46">
        <f t="shared" si="0"/>
        <v>20</v>
      </c>
    </row>
    <row r="47" spans="1:7" x14ac:dyDescent="0.3">
      <c r="A47">
        <v>46</v>
      </c>
      <c r="B47" t="s">
        <v>170</v>
      </c>
      <c r="C47" t="s">
        <v>212</v>
      </c>
      <c r="D47" t="s">
        <v>213</v>
      </c>
      <c r="E47" s="1">
        <v>48000000</v>
      </c>
      <c r="F47" t="s">
        <v>101</v>
      </c>
      <c r="G47">
        <f t="shared" si="0"/>
        <v>480</v>
      </c>
    </row>
    <row r="48" spans="1:7" x14ac:dyDescent="0.3">
      <c r="A48">
        <v>47</v>
      </c>
      <c r="B48" t="s">
        <v>50</v>
      </c>
      <c r="C48" t="s">
        <v>212</v>
      </c>
      <c r="D48" t="s">
        <v>215</v>
      </c>
      <c r="E48" s="1">
        <v>50000000</v>
      </c>
      <c r="F48" t="s">
        <v>101</v>
      </c>
      <c r="G48">
        <f t="shared" si="0"/>
        <v>500</v>
      </c>
    </row>
    <row r="49" spans="1:7" x14ac:dyDescent="0.3">
      <c r="A49">
        <v>48</v>
      </c>
      <c r="B49" t="s">
        <v>239</v>
      </c>
      <c r="C49" t="s">
        <v>212</v>
      </c>
      <c r="D49" t="s">
        <v>215</v>
      </c>
      <c r="E49" s="1">
        <v>42000000</v>
      </c>
      <c r="F49" t="s">
        <v>120</v>
      </c>
      <c r="G49">
        <f t="shared" si="0"/>
        <v>420</v>
      </c>
    </row>
    <row r="50" spans="1:7" x14ac:dyDescent="0.3">
      <c r="A50">
        <v>49</v>
      </c>
      <c r="B50" t="s">
        <v>240</v>
      </c>
      <c r="C50" t="s">
        <v>209</v>
      </c>
      <c r="D50" t="s">
        <v>215</v>
      </c>
      <c r="E50" s="1">
        <v>2000000</v>
      </c>
      <c r="F50" t="s">
        <v>120</v>
      </c>
      <c r="G50">
        <f t="shared" si="0"/>
        <v>20</v>
      </c>
    </row>
    <row r="51" spans="1:7" x14ac:dyDescent="0.3">
      <c r="A51">
        <v>50</v>
      </c>
      <c r="B51" t="s">
        <v>241</v>
      </c>
      <c r="C51" t="s">
        <v>209</v>
      </c>
      <c r="D51" t="s">
        <v>215</v>
      </c>
      <c r="E51" s="1">
        <v>2000000</v>
      </c>
      <c r="F51" t="s">
        <v>120</v>
      </c>
      <c r="G51">
        <f t="shared" si="0"/>
        <v>20</v>
      </c>
    </row>
    <row r="52" spans="1:7" x14ac:dyDescent="0.3">
      <c r="A52">
        <v>51</v>
      </c>
      <c r="B52" t="s">
        <v>30</v>
      </c>
      <c r="C52" t="s">
        <v>209</v>
      </c>
      <c r="D52" t="s">
        <v>215</v>
      </c>
      <c r="E52" s="1">
        <v>2000000</v>
      </c>
      <c r="F52" t="s">
        <v>120</v>
      </c>
      <c r="G52">
        <f t="shared" si="0"/>
        <v>20</v>
      </c>
    </row>
    <row r="53" spans="1:7" x14ac:dyDescent="0.3">
      <c r="A53">
        <v>52</v>
      </c>
      <c r="B53" t="s">
        <v>242</v>
      </c>
      <c r="C53" t="s">
        <v>209</v>
      </c>
      <c r="D53" t="s">
        <v>216</v>
      </c>
      <c r="E53" s="1">
        <v>2000000</v>
      </c>
      <c r="F53" t="s">
        <v>120</v>
      </c>
      <c r="G53">
        <f t="shared" si="0"/>
        <v>20</v>
      </c>
    </row>
    <row r="54" spans="1:7" x14ac:dyDescent="0.3">
      <c r="A54">
        <v>53</v>
      </c>
      <c r="B54" t="s">
        <v>243</v>
      </c>
      <c r="C54" t="s">
        <v>212</v>
      </c>
      <c r="D54" t="s">
        <v>216</v>
      </c>
      <c r="E54" s="1">
        <v>80000000</v>
      </c>
      <c r="F54" t="s">
        <v>120</v>
      </c>
      <c r="G54">
        <f t="shared" si="0"/>
        <v>800</v>
      </c>
    </row>
    <row r="55" spans="1:7" x14ac:dyDescent="0.3">
      <c r="A55">
        <v>54</v>
      </c>
      <c r="B55" t="s">
        <v>244</v>
      </c>
      <c r="C55" t="s">
        <v>209</v>
      </c>
      <c r="D55" t="s">
        <v>213</v>
      </c>
      <c r="E55" s="1">
        <v>2000000</v>
      </c>
      <c r="F55" t="s">
        <v>120</v>
      </c>
      <c r="G55">
        <f t="shared" si="0"/>
        <v>20</v>
      </c>
    </row>
    <row r="56" spans="1:7" x14ac:dyDescent="0.3">
      <c r="A56">
        <v>55</v>
      </c>
      <c r="B56" t="s">
        <v>181</v>
      </c>
      <c r="C56" t="s">
        <v>209</v>
      </c>
      <c r="D56" t="s">
        <v>215</v>
      </c>
      <c r="E56" s="1">
        <v>117500000</v>
      </c>
      <c r="F56" t="s">
        <v>120</v>
      </c>
      <c r="G56">
        <f t="shared" si="0"/>
        <v>1175</v>
      </c>
    </row>
    <row r="57" spans="1:7" x14ac:dyDescent="0.3">
      <c r="A57">
        <v>56</v>
      </c>
      <c r="B57" t="s">
        <v>153</v>
      </c>
      <c r="C57" t="s">
        <v>209</v>
      </c>
      <c r="D57" t="s">
        <v>216</v>
      </c>
      <c r="E57" s="1">
        <v>58000000</v>
      </c>
      <c r="F57" t="s">
        <v>144</v>
      </c>
      <c r="G57">
        <f t="shared" si="0"/>
        <v>580</v>
      </c>
    </row>
    <row r="58" spans="1:7" x14ac:dyDescent="0.3">
      <c r="A58">
        <v>57</v>
      </c>
      <c r="B58" t="s">
        <v>74</v>
      </c>
      <c r="C58" t="s">
        <v>212</v>
      </c>
      <c r="D58" t="s">
        <v>216</v>
      </c>
      <c r="E58" s="1">
        <v>74000000</v>
      </c>
      <c r="F58" t="s">
        <v>144</v>
      </c>
      <c r="G58">
        <f t="shared" si="0"/>
        <v>740</v>
      </c>
    </row>
    <row r="59" spans="1:7" x14ac:dyDescent="0.3">
      <c r="A59">
        <v>58</v>
      </c>
      <c r="B59" t="s">
        <v>245</v>
      </c>
      <c r="C59" t="s">
        <v>209</v>
      </c>
      <c r="D59" t="s">
        <v>215</v>
      </c>
      <c r="E59" s="1">
        <v>2000000</v>
      </c>
      <c r="F59" t="s">
        <v>144</v>
      </c>
      <c r="G59">
        <f t="shared" si="0"/>
        <v>20</v>
      </c>
    </row>
    <row r="60" spans="1:7" x14ac:dyDescent="0.3">
      <c r="A60">
        <v>59</v>
      </c>
      <c r="B60" t="s">
        <v>246</v>
      </c>
      <c r="C60" t="s">
        <v>212</v>
      </c>
      <c r="D60" t="s">
        <v>213</v>
      </c>
      <c r="E60" s="1">
        <v>5000000</v>
      </c>
      <c r="F60" t="s">
        <v>144</v>
      </c>
      <c r="G60">
        <f t="shared" si="0"/>
        <v>50</v>
      </c>
    </row>
    <row r="61" spans="1:7" x14ac:dyDescent="0.3">
      <c r="A61">
        <v>60</v>
      </c>
      <c r="B61" t="s">
        <v>247</v>
      </c>
      <c r="C61" t="s">
        <v>212</v>
      </c>
      <c r="D61" t="s">
        <v>210</v>
      </c>
      <c r="E61" s="1">
        <v>4000000</v>
      </c>
      <c r="F61" t="s">
        <v>144</v>
      </c>
      <c r="G61">
        <f t="shared" si="0"/>
        <v>40</v>
      </c>
    </row>
    <row r="62" spans="1:7" x14ac:dyDescent="0.3">
      <c r="A62">
        <v>61</v>
      </c>
      <c r="B62" t="s">
        <v>130</v>
      </c>
      <c r="C62" t="s">
        <v>212</v>
      </c>
      <c r="D62" t="s">
        <v>213</v>
      </c>
      <c r="E62" s="1">
        <v>20000000</v>
      </c>
      <c r="F62" t="s">
        <v>159</v>
      </c>
      <c r="G62">
        <f t="shared" si="0"/>
        <v>200</v>
      </c>
    </row>
    <row r="63" spans="1:7" x14ac:dyDescent="0.3">
      <c r="A63">
        <v>62</v>
      </c>
      <c r="B63" t="s">
        <v>248</v>
      </c>
      <c r="C63" t="s">
        <v>212</v>
      </c>
      <c r="D63" t="s">
        <v>215</v>
      </c>
      <c r="E63" s="1">
        <v>15000000</v>
      </c>
      <c r="F63" t="s">
        <v>159</v>
      </c>
      <c r="G63">
        <f t="shared" si="0"/>
        <v>150</v>
      </c>
    </row>
    <row r="64" spans="1:7" x14ac:dyDescent="0.3">
      <c r="A64">
        <v>63</v>
      </c>
      <c r="B64" t="s">
        <v>249</v>
      </c>
      <c r="C64" t="s">
        <v>209</v>
      </c>
      <c r="D64" t="s">
        <v>216</v>
      </c>
      <c r="E64" s="1">
        <v>2000000</v>
      </c>
      <c r="F64" t="s">
        <v>159</v>
      </c>
      <c r="G64">
        <f t="shared" si="0"/>
        <v>20</v>
      </c>
    </row>
    <row r="65" spans="1:7" x14ac:dyDescent="0.3">
      <c r="A65">
        <v>64</v>
      </c>
      <c r="B65" t="s">
        <v>250</v>
      </c>
      <c r="C65" t="s">
        <v>212</v>
      </c>
      <c r="D65" t="s">
        <v>213</v>
      </c>
      <c r="E65" s="1">
        <v>115000000</v>
      </c>
      <c r="F65" t="s">
        <v>159</v>
      </c>
      <c r="G65">
        <f t="shared" si="0"/>
        <v>1150</v>
      </c>
    </row>
    <row r="66" spans="1:7" x14ac:dyDescent="0.3">
      <c r="A66">
        <v>65</v>
      </c>
      <c r="B66" t="s">
        <v>173</v>
      </c>
      <c r="C66" t="s">
        <v>209</v>
      </c>
      <c r="D66" t="s">
        <v>215</v>
      </c>
      <c r="E66" s="1">
        <v>2000000</v>
      </c>
      <c r="F66" t="s">
        <v>159</v>
      </c>
      <c r="G66">
        <f t="shared" si="0"/>
        <v>20</v>
      </c>
    </row>
    <row r="67" spans="1:7" x14ac:dyDescent="0.3">
      <c r="A67">
        <v>66</v>
      </c>
      <c r="B67" t="s">
        <v>251</v>
      </c>
      <c r="C67" t="s">
        <v>209</v>
      </c>
      <c r="D67" t="s">
        <v>213</v>
      </c>
      <c r="E67" s="1">
        <v>50000000</v>
      </c>
      <c r="F67" t="s">
        <v>159</v>
      </c>
      <c r="G67">
        <f t="shared" ref="G67:G73" si="1">E67/100000</f>
        <v>500</v>
      </c>
    </row>
    <row r="68" spans="1:7" x14ac:dyDescent="0.3">
      <c r="A68">
        <v>67</v>
      </c>
      <c r="B68" t="s">
        <v>252</v>
      </c>
      <c r="C68" t="s">
        <v>209</v>
      </c>
      <c r="D68" t="s">
        <v>213</v>
      </c>
      <c r="E68" s="1">
        <v>2000000</v>
      </c>
      <c r="F68" t="s">
        <v>179</v>
      </c>
      <c r="G68">
        <f t="shared" si="1"/>
        <v>20</v>
      </c>
    </row>
    <row r="69" spans="1:7" x14ac:dyDescent="0.3">
      <c r="A69">
        <v>68</v>
      </c>
      <c r="B69" t="s">
        <v>96</v>
      </c>
      <c r="C69" t="s">
        <v>209</v>
      </c>
      <c r="D69" t="s">
        <v>213</v>
      </c>
      <c r="E69" s="1">
        <v>2000000</v>
      </c>
      <c r="F69" t="s">
        <v>179</v>
      </c>
      <c r="G69">
        <f t="shared" si="1"/>
        <v>20</v>
      </c>
    </row>
    <row r="70" spans="1:7" x14ac:dyDescent="0.3">
      <c r="A70">
        <v>69</v>
      </c>
      <c r="B70" t="s">
        <v>188</v>
      </c>
      <c r="C70" t="s">
        <v>209</v>
      </c>
      <c r="D70" t="s">
        <v>213</v>
      </c>
      <c r="E70" s="1">
        <v>16000000</v>
      </c>
      <c r="F70" t="s">
        <v>179</v>
      </c>
      <c r="G70">
        <f t="shared" si="1"/>
        <v>160</v>
      </c>
    </row>
    <row r="71" spans="1:7" x14ac:dyDescent="0.3">
      <c r="A71">
        <v>70</v>
      </c>
      <c r="B71" t="s">
        <v>146</v>
      </c>
      <c r="C71" t="s">
        <v>212</v>
      </c>
      <c r="D71" t="s">
        <v>215</v>
      </c>
      <c r="E71" s="1">
        <v>15000000</v>
      </c>
      <c r="F71" t="s">
        <v>179</v>
      </c>
      <c r="G71">
        <f t="shared" si="1"/>
        <v>150</v>
      </c>
    </row>
    <row r="72" spans="1:7" x14ac:dyDescent="0.3">
      <c r="A72">
        <v>71</v>
      </c>
      <c r="B72" t="s">
        <v>253</v>
      </c>
      <c r="C72" t="s">
        <v>212</v>
      </c>
      <c r="D72" t="s">
        <v>215</v>
      </c>
      <c r="E72" s="1">
        <v>205000000</v>
      </c>
      <c r="F72" t="s">
        <v>179</v>
      </c>
      <c r="G72">
        <f t="shared" si="1"/>
        <v>2050</v>
      </c>
    </row>
    <row r="73" spans="1:7" x14ac:dyDescent="0.3">
      <c r="A73">
        <v>72</v>
      </c>
      <c r="B73" t="s">
        <v>254</v>
      </c>
      <c r="C73" t="s">
        <v>212</v>
      </c>
      <c r="D73" t="s">
        <v>216</v>
      </c>
      <c r="E73" s="1">
        <v>68000000</v>
      </c>
      <c r="F73" t="s">
        <v>179</v>
      </c>
      <c r="G73">
        <f t="shared" si="1"/>
        <v>680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F1" sqref="F1:F1048576"/>
    </sheetView>
  </sheetViews>
  <sheetFormatPr defaultRowHeight="14.4" x14ac:dyDescent="0.3"/>
  <cols>
    <col min="1" max="1" width="5.5546875" bestFit="1" customWidth="1"/>
    <col min="2" max="2" width="18.21875" bestFit="1" customWidth="1"/>
    <col min="3" max="3" width="10" bestFit="1" customWidth="1"/>
    <col min="4" max="4" width="13.109375" bestFit="1" customWidth="1"/>
    <col min="5" max="5" width="17.6640625" style="2" bestFit="1" customWidth="1"/>
    <col min="6" max="6" width="24.33203125" bestFit="1" customWidth="1"/>
    <col min="7" max="7" width="13.77734375" bestFit="1" customWidth="1"/>
  </cols>
  <sheetData>
    <row r="1" spans="1:7" x14ac:dyDescent="0.3">
      <c r="A1" t="s">
        <v>202</v>
      </c>
      <c r="B1" t="s">
        <v>203</v>
      </c>
      <c r="C1" t="s">
        <v>204</v>
      </c>
      <c r="D1" t="s">
        <v>205</v>
      </c>
      <c r="E1" s="2" t="s">
        <v>206</v>
      </c>
      <c r="F1" t="s">
        <v>198</v>
      </c>
      <c r="G1" t="s">
        <v>207</v>
      </c>
    </row>
    <row r="2" spans="1:7" x14ac:dyDescent="0.3">
      <c r="A2">
        <v>1</v>
      </c>
      <c r="B2" t="s">
        <v>255</v>
      </c>
      <c r="C2" t="s">
        <v>212</v>
      </c>
      <c r="D2" t="s">
        <v>215</v>
      </c>
      <c r="E2" s="2">
        <v>162500000</v>
      </c>
      <c r="F2" t="s">
        <v>2</v>
      </c>
      <c r="G2">
        <f>E2/100000</f>
        <v>1625</v>
      </c>
    </row>
    <row r="3" spans="1:7" x14ac:dyDescent="0.3">
      <c r="A3">
        <v>2</v>
      </c>
      <c r="B3" t="s">
        <v>256</v>
      </c>
      <c r="C3" t="s">
        <v>212</v>
      </c>
      <c r="D3" t="s">
        <v>213</v>
      </c>
      <c r="E3" s="2">
        <v>10000000</v>
      </c>
      <c r="F3" t="s">
        <v>2</v>
      </c>
      <c r="G3">
        <f t="shared" ref="G3:G66" si="0">E3/100000</f>
        <v>100</v>
      </c>
    </row>
    <row r="4" spans="1:7" x14ac:dyDescent="0.3">
      <c r="A4">
        <v>3</v>
      </c>
      <c r="B4" t="s">
        <v>63</v>
      </c>
      <c r="C4" t="s">
        <v>209</v>
      </c>
      <c r="D4" t="s">
        <v>215</v>
      </c>
      <c r="E4" s="2">
        <v>6000000</v>
      </c>
      <c r="F4" t="s">
        <v>2</v>
      </c>
      <c r="G4">
        <f t="shared" si="0"/>
        <v>60</v>
      </c>
    </row>
    <row r="5" spans="1:7" x14ac:dyDescent="0.3">
      <c r="A5">
        <v>4</v>
      </c>
      <c r="B5" t="s">
        <v>73</v>
      </c>
      <c r="C5" t="s">
        <v>209</v>
      </c>
      <c r="D5" t="s">
        <v>216</v>
      </c>
      <c r="E5" s="2">
        <v>5000000</v>
      </c>
      <c r="F5" t="s">
        <v>2</v>
      </c>
      <c r="G5">
        <f t="shared" si="0"/>
        <v>50</v>
      </c>
    </row>
    <row r="6" spans="1:7" x14ac:dyDescent="0.3">
      <c r="A6">
        <v>5</v>
      </c>
      <c r="B6" t="s">
        <v>257</v>
      </c>
      <c r="C6" t="s">
        <v>209</v>
      </c>
      <c r="D6" t="s">
        <v>215</v>
      </c>
      <c r="E6" s="2">
        <v>2000000</v>
      </c>
      <c r="F6" t="s">
        <v>2</v>
      </c>
      <c r="G6">
        <f t="shared" si="0"/>
        <v>20</v>
      </c>
    </row>
    <row r="7" spans="1:7" x14ac:dyDescent="0.3">
      <c r="A7">
        <v>6</v>
      </c>
      <c r="B7" t="s">
        <v>41</v>
      </c>
      <c r="C7" t="s">
        <v>209</v>
      </c>
      <c r="D7" t="s">
        <v>215</v>
      </c>
      <c r="E7" s="2">
        <v>2000000</v>
      </c>
      <c r="F7" t="s">
        <v>2</v>
      </c>
      <c r="G7">
        <f t="shared" si="0"/>
        <v>20</v>
      </c>
    </row>
    <row r="8" spans="1:7" x14ac:dyDescent="0.3">
      <c r="A8">
        <v>7</v>
      </c>
      <c r="B8" t="s">
        <v>22</v>
      </c>
      <c r="C8" t="s">
        <v>209</v>
      </c>
      <c r="D8" t="s">
        <v>216</v>
      </c>
      <c r="E8" s="2">
        <v>2000000</v>
      </c>
      <c r="F8" t="s">
        <v>2</v>
      </c>
      <c r="G8">
        <f t="shared" si="0"/>
        <v>20</v>
      </c>
    </row>
    <row r="9" spans="1:7" x14ac:dyDescent="0.3">
      <c r="A9">
        <v>8</v>
      </c>
      <c r="B9" t="s">
        <v>28</v>
      </c>
      <c r="C9" t="s">
        <v>209</v>
      </c>
      <c r="D9" t="s">
        <v>213</v>
      </c>
      <c r="E9" s="2">
        <v>55000000</v>
      </c>
      <c r="F9" t="s">
        <v>24</v>
      </c>
      <c r="G9">
        <f t="shared" si="0"/>
        <v>550</v>
      </c>
    </row>
    <row r="10" spans="1:7" x14ac:dyDescent="0.3">
      <c r="A10">
        <v>9</v>
      </c>
      <c r="B10" t="s">
        <v>243</v>
      </c>
      <c r="C10" t="s">
        <v>212</v>
      </c>
      <c r="D10" t="s">
        <v>216</v>
      </c>
      <c r="E10" s="2">
        <v>46000000</v>
      </c>
      <c r="F10" t="s">
        <v>24</v>
      </c>
      <c r="G10">
        <f t="shared" si="0"/>
        <v>460</v>
      </c>
    </row>
    <row r="11" spans="1:7" x14ac:dyDescent="0.3">
      <c r="A11">
        <v>10</v>
      </c>
      <c r="B11" t="s">
        <v>76</v>
      </c>
      <c r="C11" t="s">
        <v>209</v>
      </c>
      <c r="D11" t="s">
        <v>216</v>
      </c>
      <c r="E11" s="2">
        <v>24000000</v>
      </c>
      <c r="F11" t="s">
        <v>24</v>
      </c>
      <c r="G11">
        <f t="shared" si="0"/>
        <v>240</v>
      </c>
    </row>
    <row r="12" spans="1:7" x14ac:dyDescent="0.3">
      <c r="A12">
        <v>11</v>
      </c>
      <c r="B12" t="s">
        <v>160</v>
      </c>
      <c r="C12" t="s">
        <v>212</v>
      </c>
      <c r="D12" t="s">
        <v>210</v>
      </c>
      <c r="E12" s="2">
        <v>20000000</v>
      </c>
      <c r="F12" t="s">
        <v>24</v>
      </c>
      <c r="G12">
        <f t="shared" si="0"/>
        <v>200</v>
      </c>
    </row>
    <row r="13" spans="1:7" x14ac:dyDescent="0.3">
      <c r="A13">
        <v>12</v>
      </c>
      <c r="B13" t="s">
        <v>58</v>
      </c>
      <c r="C13" t="s">
        <v>209</v>
      </c>
      <c r="D13" t="s">
        <v>213</v>
      </c>
      <c r="E13" s="2">
        <v>5000000</v>
      </c>
      <c r="F13" t="s">
        <v>24</v>
      </c>
      <c r="G13">
        <f t="shared" si="0"/>
        <v>50</v>
      </c>
    </row>
    <row r="14" spans="1:7" x14ac:dyDescent="0.3">
      <c r="A14">
        <v>13</v>
      </c>
      <c r="B14" t="s">
        <v>235</v>
      </c>
      <c r="C14" t="s">
        <v>209</v>
      </c>
      <c r="D14" t="s">
        <v>213</v>
      </c>
      <c r="E14" s="2">
        <v>60000000</v>
      </c>
      <c r="F14" t="s">
        <v>44</v>
      </c>
      <c r="G14">
        <f t="shared" si="0"/>
        <v>600</v>
      </c>
    </row>
    <row r="15" spans="1:7" x14ac:dyDescent="0.3">
      <c r="A15">
        <v>14</v>
      </c>
      <c r="B15" t="s">
        <v>258</v>
      </c>
      <c r="C15" t="s">
        <v>212</v>
      </c>
      <c r="D15" t="s">
        <v>213</v>
      </c>
      <c r="E15" s="2">
        <v>44000000</v>
      </c>
      <c r="F15" t="s">
        <v>44</v>
      </c>
      <c r="G15">
        <f t="shared" si="0"/>
        <v>440</v>
      </c>
    </row>
    <row r="16" spans="1:7" x14ac:dyDescent="0.3">
      <c r="A16">
        <v>15</v>
      </c>
      <c r="B16" t="s">
        <v>259</v>
      </c>
      <c r="C16" t="s">
        <v>212</v>
      </c>
      <c r="D16" t="s">
        <v>216</v>
      </c>
      <c r="E16" s="2">
        <v>20000000</v>
      </c>
      <c r="F16" t="s">
        <v>44</v>
      </c>
      <c r="G16">
        <f t="shared" si="0"/>
        <v>200</v>
      </c>
    </row>
    <row r="17" spans="1:7" x14ac:dyDescent="0.3">
      <c r="A17">
        <v>16</v>
      </c>
      <c r="B17" t="s">
        <v>230</v>
      </c>
      <c r="C17" t="s">
        <v>209</v>
      </c>
      <c r="D17" t="s">
        <v>210</v>
      </c>
      <c r="E17" s="2">
        <v>12000000</v>
      </c>
      <c r="F17" t="s">
        <v>44</v>
      </c>
      <c r="G17">
        <f t="shared" si="0"/>
        <v>120</v>
      </c>
    </row>
    <row r="18" spans="1:7" x14ac:dyDescent="0.3">
      <c r="A18">
        <v>17</v>
      </c>
      <c r="B18" t="s">
        <v>31</v>
      </c>
      <c r="C18" t="s">
        <v>209</v>
      </c>
      <c r="D18" t="s">
        <v>213</v>
      </c>
      <c r="E18" s="2">
        <v>5000000</v>
      </c>
      <c r="F18" t="s">
        <v>44</v>
      </c>
      <c r="G18">
        <f t="shared" si="0"/>
        <v>50</v>
      </c>
    </row>
    <row r="19" spans="1:7" x14ac:dyDescent="0.3">
      <c r="A19">
        <v>18</v>
      </c>
      <c r="B19" t="s">
        <v>260</v>
      </c>
      <c r="C19" t="s">
        <v>212</v>
      </c>
      <c r="D19" t="s">
        <v>215</v>
      </c>
      <c r="E19" s="2">
        <v>5000000</v>
      </c>
      <c r="F19" t="s">
        <v>44</v>
      </c>
      <c r="G19">
        <f t="shared" si="0"/>
        <v>50</v>
      </c>
    </row>
    <row r="20" spans="1:7" x14ac:dyDescent="0.3">
      <c r="A20">
        <v>19</v>
      </c>
      <c r="B20" t="s">
        <v>261</v>
      </c>
      <c r="C20" t="s">
        <v>209</v>
      </c>
      <c r="D20" t="s">
        <v>210</v>
      </c>
      <c r="E20" s="2">
        <v>2000000</v>
      </c>
      <c r="F20" t="s">
        <v>44</v>
      </c>
      <c r="G20">
        <f t="shared" si="0"/>
        <v>20</v>
      </c>
    </row>
    <row r="21" spans="1:7" x14ac:dyDescent="0.3">
      <c r="A21">
        <v>20</v>
      </c>
      <c r="B21" t="s">
        <v>262</v>
      </c>
      <c r="C21" t="s">
        <v>212</v>
      </c>
      <c r="D21" t="s">
        <v>215</v>
      </c>
      <c r="E21" s="2">
        <v>15000000</v>
      </c>
      <c r="F21" t="s">
        <v>65</v>
      </c>
      <c r="G21">
        <f t="shared" si="0"/>
        <v>150</v>
      </c>
    </row>
    <row r="22" spans="1:7" x14ac:dyDescent="0.3">
      <c r="A22">
        <v>21</v>
      </c>
      <c r="B22" t="s">
        <v>263</v>
      </c>
      <c r="C22" t="s">
        <v>212</v>
      </c>
      <c r="D22" t="s">
        <v>215</v>
      </c>
      <c r="E22" s="2">
        <v>10000000</v>
      </c>
      <c r="F22" t="s">
        <v>65</v>
      </c>
      <c r="G22">
        <f t="shared" si="0"/>
        <v>100</v>
      </c>
    </row>
    <row r="23" spans="1:7" x14ac:dyDescent="0.3">
      <c r="A23">
        <v>22</v>
      </c>
      <c r="B23" t="s">
        <v>264</v>
      </c>
      <c r="C23" t="s">
        <v>209</v>
      </c>
      <c r="D23" t="s">
        <v>210</v>
      </c>
      <c r="E23" s="2">
        <v>9000000</v>
      </c>
      <c r="F23" t="s">
        <v>65</v>
      </c>
      <c r="G23">
        <f t="shared" si="0"/>
        <v>90</v>
      </c>
    </row>
    <row r="24" spans="1:7" x14ac:dyDescent="0.3">
      <c r="A24">
        <v>23</v>
      </c>
      <c r="B24" t="s">
        <v>72</v>
      </c>
      <c r="C24" t="s">
        <v>209</v>
      </c>
      <c r="D24" t="s">
        <v>213</v>
      </c>
      <c r="E24" s="2">
        <v>6000000</v>
      </c>
      <c r="F24" t="s">
        <v>65</v>
      </c>
      <c r="G24">
        <f t="shared" si="0"/>
        <v>60</v>
      </c>
    </row>
    <row r="25" spans="1:7" x14ac:dyDescent="0.3">
      <c r="A25">
        <v>24</v>
      </c>
      <c r="B25" t="s">
        <v>265</v>
      </c>
      <c r="C25" t="s">
        <v>209</v>
      </c>
      <c r="D25" t="s">
        <v>216</v>
      </c>
      <c r="E25" s="2">
        <v>5000000</v>
      </c>
      <c r="F25" t="s">
        <v>65</v>
      </c>
      <c r="G25">
        <f t="shared" si="0"/>
        <v>50</v>
      </c>
    </row>
    <row r="26" spans="1:7" x14ac:dyDescent="0.3">
      <c r="A26">
        <v>25</v>
      </c>
      <c r="B26" t="s">
        <v>266</v>
      </c>
      <c r="C26" t="s">
        <v>212</v>
      </c>
      <c r="D26" t="s">
        <v>210</v>
      </c>
      <c r="E26" s="2">
        <v>5000000</v>
      </c>
      <c r="F26" t="s">
        <v>65</v>
      </c>
      <c r="G26">
        <f t="shared" si="0"/>
        <v>50</v>
      </c>
    </row>
    <row r="27" spans="1:7" x14ac:dyDescent="0.3">
      <c r="A27">
        <v>26</v>
      </c>
      <c r="B27" t="s">
        <v>60</v>
      </c>
      <c r="C27" t="s">
        <v>209</v>
      </c>
      <c r="D27" t="s">
        <v>213</v>
      </c>
      <c r="E27" s="2">
        <v>2000000</v>
      </c>
      <c r="F27" t="s">
        <v>65</v>
      </c>
      <c r="G27">
        <f t="shared" si="0"/>
        <v>20</v>
      </c>
    </row>
    <row r="28" spans="1:7" x14ac:dyDescent="0.3">
      <c r="A28">
        <v>27</v>
      </c>
      <c r="B28" t="s">
        <v>168</v>
      </c>
      <c r="C28" t="s">
        <v>209</v>
      </c>
      <c r="D28" t="s">
        <v>213</v>
      </c>
      <c r="E28" s="2">
        <v>2000000</v>
      </c>
      <c r="F28" t="s">
        <v>65</v>
      </c>
      <c r="G28">
        <f t="shared" si="0"/>
        <v>20</v>
      </c>
    </row>
    <row r="29" spans="1:7" x14ac:dyDescent="0.3">
      <c r="A29">
        <v>28</v>
      </c>
      <c r="B29" t="s">
        <v>267</v>
      </c>
      <c r="C29" t="s">
        <v>212</v>
      </c>
      <c r="D29" t="s">
        <v>210</v>
      </c>
      <c r="E29" s="2">
        <v>160000000</v>
      </c>
      <c r="F29" t="s">
        <v>81</v>
      </c>
      <c r="G29">
        <f t="shared" si="0"/>
        <v>1600</v>
      </c>
    </row>
    <row r="30" spans="1:7" x14ac:dyDescent="0.3">
      <c r="A30">
        <v>29</v>
      </c>
      <c r="B30" t="s">
        <v>268</v>
      </c>
      <c r="C30" t="s">
        <v>212</v>
      </c>
      <c r="D30" t="s">
        <v>215</v>
      </c>
      <c r="E30" s="2">
        <v>7500000</v>
      </c>
      <c r="F30" t="s">
        <v>81</v>
      </c>
      <c r="G30">
        <f t="shared" si="0"/>
        <v>75</v>
      </c>
    </row>
    <row r="31" spans="1:7" x14ac:dyDescent="0.3">
      <c r="A31">
        <v>30</v>
      </c>
      <c r="B31" t="s">
        <v>269</v>
      </c>
      <c r="C31" t="s">
        <v>209</v>
      </c>
      <c r="D31" t="s">
        <v>213</v>
      </c>
      <c r="E31" s="2">
        <v>5000000</v>
      </c>
      <c r="F31" t="s">
        <v>81</v>
      </c>
      <c r="G31">
        <f t="shared" si="0"/>
        <v>50</v>
      </c>
    </row>
    <row r="32" spans="1:7" x14ac:dyDescent="0.3">
      <c r="A32">
        <v>31</v>
      </c>
      <c r="B32" t="s">
        <v>171</v>
      </c>
      <c r="C32" t="s">
        <v>212</v>
      </c>
      <c r="D32" t="s">
        <v>215</v>
      </c>
      <c r="E32" s="2">
        <v>5000000</v>
      </c>
      <c r="F32" t="s">
        <v>81</v>
      </c>
      <c r="G32">
        <f t="shared" si="0"/>
        <v>50</v>
      </c>
    </row>
    <row r="33" spans="1:7" x14ac:dyDescent="0.3">
      <c r="A33">
        <v>32</v>
      </c>
      <c r="B33" t="s">
        <v>270</v>
      </c>
      <c r="C33" t="s">
        <v>212</v>
      </c>
      <c r="D33" t="s">
        <v>213</v>
      </c>
      <c r="E33" s="2">
        <v>5000000</v>
      </c>
      <c r="F33" t="s">
        <v>81</v>
      </c>
      <c r="G33">
        <f t="shared" si="0"/>
        <v>50</v>
      </c>
    </row>
    <row r="34" spans="1:7" x14ac:dyDescent="0.3">
      <c r="A34">
        <v>33</v>
      </c>
      <c r="B34" t="s">
        <v>188</v>
      </c>
      <c r="C34" t="s">
        <v>209</v>
      </c>
      <c r="D34" t="s">
        <v>213</v>
      </c>
      <c r="E34" s="2">
        <v>5000000</v>
      </c>
      <c r="F34" t="s">
        <v>81</v>
      </c>
      <c r="G34">
        <f t="shared" si="0"/>
        <v>50</v>
      </c>
    </row>
    <row r="35" spans="1:7" x14ac:dyDescent="0.3">
      <c r="A35">
        <v>34</v>
      </c>
      <c r="B35" t="s">
        <v>132</v>
      </c>
      <c r="C35" t="s">
        <v>209</v>
      </c>
      <c r="D35" t="s">
        <v>213</v>
      </c>
      <c r="E35" s="2">
        <v>4500000</v>
      </c>
      <c r="F35" t="s">
        <v>81</v>
      </c>
      <c r="G35">
        <f t="shared" si="0"/>
        <v>45</v>
      </c>
    </row>
    <row r="36" spans="1:7" x14ac:dyDescent="0.3">
      <c r="A36">
        <v>35</v>
      </c>
      <c r="B36" t="s">
        <v>173</v>
      </c>
      <c r="C36" t="s">
        <v>209</v>
      </c>
      <c r="D36" t="s">
        <v>215</v>
      </c>
      <c r="E36" s="2">
        <v>2000000</v>
      </c>
      <c r="F36" t="s">
        <v>81</v>
      </c>
      <c r="G36">
        <f t="shared" si="0"/>
        <v>20</v>
      </c>
    </row>
    <row r="37" spans="1:7" x14ac:dyDescent="0.3">
      <c r="A37">
        <v>36</v>
      </c>
      <c r="B37" t="s">
        <v>154</v>
      </c>
      <c r="C37" t="s">
        <v>209</v>
      </c>
      <c r="D37" t="s">
        <v>215</v>
      </c>
      <c r="E37" s="2">
        <v>2000000</v>
      </c>
      <c r="F37" t="s">
        <v>81</v>
      </c>
      <c r="G37">
        <f t="shared" si="0"/>
        <v>20</v>
      </c>
    </row>
    <row r="38" spans="1:7" x14ac:dyDescent="0.3">
      <c r="A38">
        <v>37</v>
      </c>
      <c r="B38" t="s">
        <v>271</v>
      </c>
      <c r="C38" t="s">
        <v>209</v>
      </c>
      <c r="D38" t="s">
        <v>215</v>
      </c>
      <c r="E38" s="2">
        <v>2000000</v>
      </c>
      <c r="F38" t="s">
        <v>81</v>
      </c>
      <c r="G38">
        <f t="shared" si="0"/>
        <v>20</v>
      </c>
    </row>
    <row r="39" spans="1:7" x14ac:dyDescent="0.3">
      <c r="A39">
        <v>38</v>
      </c>
      <c r="B39" t="s">
        <v>272</v>
      </c>
      <c r="C39" t="s">
        <v>212</v>
      </c>
      <c r="D39" t="s">
        <v>215</v>
      </c>
      <c r="E39" s="2">
        <v>175000000</v>
      </c>
      <c r="F39" t="s">
        <v>101</v>
      </c>
      <c r="G39">
        <f t="shared" si="0"/>
        <v>1750</v>
      </c>
    </row>
    <row r="40" spans="1:7" x14ac:dyDescent="0.3">
      <c r="A40">
        <v>39</v>
      </c>
      <c r="B40" t="s">
        <v>220</v>
      </c>
      <c r="C40" t="s">
        <v>212</v>
      </c>
      <c r="D40" t="s">
        <v>213</v>
      </c>
      <c r="E40" s="2">
        <v>15000000</v>
      </c>
      <c r="F40" t="s">
        <v>101</v>
      </c>
      <c r="G40">
        <f t="shared" si="0"/>
        <v>150</v>
      </c>
    </row>
    <row r="41" spans="1:7" x14ac:dyDescent="0.3">
      <c r="A41">
        <v>40</v>
      </c>
      <c r="B41" t="s">
        <v>273</v>
      </c>
      <c r="C41" t="s">
        <v>209</v>
      </c>
      <c r="D41" t="s">
        <v>213</v>
      </c>
      <c r="E41" s="2">
        <v>5000000</v>
      </c>
      <c r="F41" t="s">
        <v>101</v>
      </c>
      <c r="G41">
        <f t="shared" si="0"/>
        <v>50</v>
      </c>
    </row>
    <row r="42" spans="1:7" x14ac:dyDescent="0.3">
      <c r="A42">
        <v>41</v>
      </c>
      <c r="B42" t="s">
        <v>125</v>
      </c>
      <c r="C42" t="s">
        <v>209</v>
      </c>
      <c r="D42" t="s">
        <v>215</v>
      </c>
      <c r="E42" s="2">
        <v>2000000</v>
      </c>
      <c r="F42" t="s">
        <v>101</v>
      </c>
      <c r="G42">
        <f t="shared" si="0"/>
        <v>20</v>
      </c>
    </row>
    <row r="43" spans="1:7" x14ac:dyDescent="0.3">
      <c r="A43">
        <v>42</v>
      </c>
      <c r="B43" t="s">
        <v>274</v>
      </c>
      <c r="C43" t="s">
        <v>209</v>
      </c>
      <c r="D43" t="s">
        <v>213</v>
      </c>
      <c r="E43" s="2">
        <v>2000000</v>
      </c>
      <c r="F43" t="s">
        <v>101</v>
      </c>
      <c r="G43">
        <f t="shared" si="0"/>
        <v>20</v>
      </c>
    </row>
    <row r="44" spans="1:7" x14ac:dyDescent="0.3">
      <c r="A44">
        <v>43</v>
      </c>
      <c r="B44" t="s">
        <v>135</v>
      </c>
      <c r="C44" t="s">
        <v>209</v>
      </c>
      <c r="D44" t="s">
        <v>210</v>
      </c>
      <c r="E44" s="2">
        <v>2000000</v>
      </c>
      <c r="F44" t="s">
        <v>101</v>
      </c>
      <c r="G44">
        <f t="shared" si="0"/>
        <v>20</v>
      </c>
    </row>
    <row r="45" spans="1:7" x14ac:dyDescent="0.3">
      <c r="A45">
        <v>44</v>
      </c>
      <c r="B45" t="s">
        <v>275</v>
      </c>
      <c r="C45" t="s">
        <v>212</v>
      </c>
      <c r="D45" t="s">
        <v>215</v>
      </c>
      <c r="E45" s="2">
        <v>2000000</v>
      </c>
      <c r="F45" t="s">
        <v>101</v>
      </c>
      <c r="G45">
        <f t="shared" si="0"/>
        <v>20</v>
      </c>
    </row>
    <row r="46" spans="1:7" x14ac:dyDescent="0.3">
      <c r="A46">
        <v>45</v>
      </c>
      <c r="B46" t="s">
        <v>276</v>
      </c>
      <c r="C46" t="s">
        <v>209</v>
      </c>
      <c r="D46" t="s">
        <v>215</v>
      </c>
      <c r="E46" s="2">
        <v>2000000</v>
      </c>
      <c r="F46" t="s">
        <v>101</v>
      </c>
      <c r="G46">
        <f t="shared" si="0"/>
        <v>20</v>
      </c>
    </row>
    <row r="47" spans="1:7" x14ac:dyDescent="0.3">
      <c r="A47">
        <v>46</v>
      </c>
      <c r="B47" t="s">
        <v>10</v>
      </c>
      <c r="C47" t="s">
        <v>212</v>
      </c>
      <c r="D47" t="s">
        <v>215</v>
      </c>
      <c r="E47" s="2">
        <v>185000000</v>
      </c>
      <c r="F47" t="s">
        <v>120</v>
      </c>
      <c r="G47">
        <f t="shared" si="0"/>
        <v>1850</v>
      </c>
    </row>
    <row r="48" spans="1:7" x14ac:dyDescent="0.3">
      <c r="A48">
        <v>47</v>
      </c>
      <c r="B48" t="s">
        <v>277</v>
      </c>
      <c r="C48" t="s">
        <v>212</v>
      </c>
      <c r="D48" t="s">
        <v>215</v>
      </c>
      <c r="E48" s="2">
        <v>5000000</v>
      </c>
      <c r="F48" t="s">
        <v>120</v>
      </c>
      <c r="G48">
        <f t="shared" si="0"/>
        <v>50</v>
      </c>
    </row>
    <row r="49" spans="1:7" x14ac:dyDescent="0.3">
      <c r="A49">
        <v>48</v>
      </c>
      <c r="B49" t="s">
        <v>278</v>
      </c>
      <c r="C49" t="s">
        <v>209</v>
      </c>
      <c r="D49" t="s">
        <v>216</v>
      </c>
      <c r="E49" s="2">
        <v>4000000</v>
      </c>
      <c r="F49" t="s">
        <v>120</v>
      </c>
      <c r="G49">
        <f t="shared" si="0"/>
        <v>40</v>
      </c>
    </row>
    <row r="50" spans="1:7" x14ac:dyDescent="0.3">
      <c r="A50">
        <v>49</v>
      </c>
      <c r="B50" t="s">
        <v>279</v>
      </c>
      <c r="C50" t="s">
        <v>209</v>
      </c>
      <c r="D50" t="s">
        <v>215</v>
      </c>
      <c r="E50" s="2">
        <v>2000000</v>
      </c>
      <c r="F50" t="s">
        <v>120</v>
      </c>
      <c r="G50">
        <f t="shared" si="0"/>
        <v>20</v>
      </c>
    </row>
    <row r="51" spans="1:7" x14ac:dyDescent="0.3">
      <c r="A51">
        <v>50</v>
      </c>
      <c r="B51" t="s">
        <v>280</v>
      </c>
      <c r="C51" t="s">
        <v>209</v>
      </c>
      <c r="D51" t="s">
        <v>213</v>
      </c>
      <c r="E51" s="2">
        <v>2000000</v>
      </c>
      <c r="F51" t="s">
        <v>120</v>
      </c>
      <c r="G51">
        <f t="shared" si="0"/>
        <v>20</v>
      </c>
    </row>
    <row r="52" spans="1:7" x14ac:dyDescent="0.3">
      <c r="A52">
        <v>51</v>
      </c>
      <c r="B52" t="s">
        <v>174</v>
      </c>
      <c r="C52" t="s">
        <v>209</v>
      </c>
      <c r="D52" t="s">
        <v>215</v>
      </c>
      <c r="E52" s="2">
        <v>2000000</v>
      </c>
      <c r="F52" t="s">
        <v>120</v>
      </c>
      <c r="G52">
        <f t="shared" si="0"/>
        <v>20</v>
      </c>
    </row>
    <row r="53" spans="1:7" x14ac:dyDescent="0.3">
      <c r="A53">
        <v>52</v>
      </c>
      <c r="B53" t="s">
        <v>281</v>
      </c>
      <c r="C53" t="s">
        <v>212</v>
      </c>
      <c r="D53" t="s">
        <v>215</v>
      </c>
      <c r="E53" s="2">
        <v>57500000</v>
      </c>
      <c r="F53" t="s">
        <v>144</v>
      </c>
      <c r="G53">
        <f t="shared" si="0"/>
        <v>575</v>
      </c>
    </row>
    <row r="54" spans="1:7" x14ac:dyDescent="0.3">
      <c r="A54">
        <v>53</v>
      </c>
      <c r="B54" t="s">
        <v>184</v>
      </c>
      <c r="C54" t="s">
        <v>212</v>
      </c>
      <c r="D54" t="s">
        <v>213</v>
      </c>
      <c r="E54" s="2">
        <v>15000000</v>
      </c>
      <c r="F54" t="s">
        <v>144</v>
      </c>
      <c r="G54">
        <f t="shared" si="0"/>
        <v>150</v>
      </c>
    </row>
    <row r="55" spans="1:7" x14ac:dyDescent="0.3">
      <c r="A55">
        <v>54</v>
      </c>
      <c r="B55" t="s">
        <v>282</v>
      </c>
      <c r="C55" t="s">
        <v>212</v>
      </c>
      <c r="D55" t="s">
        <v>216</v>
      </c>
      <c r="E55" s="2">
        <v>10000000</v>
      </c>
      <c r="F55" t="s">
        <v>144</v>
      </c>
      <c r="G55">
        <f t="shared" si="0"/>
        <v>100</v>
      </c>
    </row>
    <row r="56" spans="1:7" x14ac:dyDescent="0.3">
      <c r="A56">
        <v>55</v>
      </c>
      <c r="B56" t="s">
        <v>34</v>
      </c>
      <c r="C56" t="s">
        <v>212</v>
      </c>
      <c r="D56" t="s">
        <v>210</v>
      </c>
      <c r="E56" s="2">
        <v>5000000</v>
      </c>
      <c r="F56" t="s">
        <v>144</v>
      </c>
      <c r="G56">
        <f t="shared" si="0"/>
        <v>50</v>
      </c>
    </row>
    <row r="57" spans="1:7" x14ac:dyDescent="0.3">
      <c r="A57">
        <v>56</v>
      </c>
      <c r="B57" t="s">
        <v>283</v>
      </c>
      <c r="C57" t="s">
        <v>209</v>
      </c>
      <c r="D57" t="s">
        <v>213</v>
      </c>
      <c r="E57" s="2">
        <v>3000000</v>
      </c>
      <c r="F57" t="s">
        <v>144</v>
      </c>
      <c r="G57">
        <f t="shared" si="0"/>
        <v>30</v>
      </c>
    </row>
    <row r="58" spans="1:7" x14ac:dyDescent="0.3">
      <c r="A58">
        <v>57</v>
      </c>
      <c r="B58" t="s">
        <v>284</v>
      </c>
      <c r="C58" t="s">
        <v>209</v>
      </c>
      <c r="D58" t="s">
        <v>215</v>
      </c>
      <c r="E58" s="2">
        <v>2000000</v>
      </c>
      <c r="F58" t="s">
        <v>144</v>
      </c>
      <c r="G58">
        <f t="shared" si="0"/>
        <v>20</v>
      </c>
    </row>
    <row r="59" spans="1:7" x14ac:dyDescent="0.3">
      <c r="A59">
        <v>58</v>
      </c>
      <c r="B59" t="s">
        <v>285</v>
      </c>
      <c r="C59" t="s">
        <v>209</v>
      </c>
      <c r="D59" t="s">
        <v>215</v>
      </c>
      <c r="E59" s="2">
        <v>2000000</v>
      </c>
      <c r="F59" t="s">
        <v>144</v>
      </c>
      <c r="G59">
        <f t="shared" si="0"/>
        <v>20</v>
      </c>
    </row>
    <row r="60" spans="1:7" x14ac:dyDescent="0.3">
      <c r="A60">
        <v>59</v>
      </c>
      <c r="B60" t="s">
        <v>156</v>
      </c>
      <c r="C60" t="s">
        <v>209</v>
      </c>
      <c r="D60" t="s">
        <v>210</v>
      </c>
      <c r="E60" s="2">
        <v>2000000</v>
      </c>
      <c r="F60" t="s">
        <v>144</v>
      </c>
      <c r="G60">
        <f t="shared" si="0"/>
        <v>20</v>
      </c>
    </row>
    <row r="61" spans="1:7" x14ac:dyDescent="0.3">
      <c r="A61">
        <v>60</v>
      </c>
      <c r="B61" t="s">
        <v>286</v>
      </c>
      <c r="C61" t="s">
        <v>209</v>
      </c>
      <c r="D61" t="s">
        <v>213</v>
      </c>
      <c r="E61" s="2">
        <v>2000000</v>
      </c>
      <c r="F61" t="s">
        <v>144</v>
      </c>
      <c r="G61">
        <f t="shared" si="0"/>
        <v>20</v>
      </c>
    </row>
    <row r="62" spans="1:7" x14ac:dyDescent="0.3">
      <c r="A62">
        <v>61</v>
      </c>
      <c r="B62" t="s">
        <v>103</v>
      </c>
      <c r="C62" t="s">
        <v>212</v>
      </c>
      <c r="D62" t="s">
        <v>216</v>
      </c>
      <c r="E62" s="2">
        <v>32000000</v>
      </c>
      <c r="F62" t="s">
        <v>287</v>
      </c>
      <c r="G62">
        <f t="shared" si="0"/>
        <v>320</v>
      </c>
    </row>
    <row r="63" spans="1:7" x14ac:dyDescent="0.3">
      <c r="A63">
        <v>62</v>
      </c>
      <c r="B63" t="s">
        <v>109</v>
      </c>
      <c r="C63" t="s">
        <v>212</v>
      </c>
      <c r="D63" t="s">
        <v>213</v>
      </c>
      <c r="E63" s="2">
        <v>19000000</v>
      </c>
      <c r="F63" t="s">
        <v>287</v>
      </c>
      <c r="G63">
        <f t="shared" si="0"/>
        <v>190</v>
      </c>
    </row>
    <row r="64" spans="1:7" x14ac:dyDescent="0.3">
      <c r="A64">
        <v>63</v>
      </c>
      <c r="B64" t="s">
        <v>288</v>
      </c>
      <c r="C64" t="s">
        <v>209</v>
      </c>
      <c r="D64" t="s">
        <v>213</v>
      </c>
      <c r="E64" s="2">
        <v>7000000</v>
      </c>
      <c r="F64" t="s">
        <v>287</v>
      </c>
      <c r="G64">
        <f t="shared" si="0"/>
        <v>70</v>
      </c>
    </row>
    <row r="65" spans="1:7" x14ac:dyDescent="0.3">
      <c r="A65">
        <v>64</v>
      </c>
      <c r="B65" t="s">
        <v>289</v>
      </c>
      <c r="C65" t="s">
        <v>209</v>
      </c>
      <c r="D65" t="s">
        <v>213</v>
      </c>
      <c r="E65" s="2">
        <v>6000000</v>
      </c>
      <c r="F65" t="s">
        <v>287</v>
      </c>
      <c r="G65">
        <f t="shared" si="0"/>
        <v>60</v>
      </c>
    </row>
    <row r="66" spans="1:7" x14ac:dyDescent="0.3">
      <c r="A66">
        <v>65</v>
      </c>
      <c r="B66" t="s">
        <v>290</v>
      </c>
      <c r="C66" t="s">
        <v>209</v>
      </c>
      <c r="D66" t="s">
        <v>215</v>
      </c>
      <c r="E66" s="2">
        <v>2000000</v>
      </c>
      <c r="F66" t="s">
        <v>287</v>
      </c>
      <c r="G66">
        <f t="shared" si="0"/>
        <v>20</v>
      </c>
    </row>
    <row r="67" spans="1:7" x14ac:dyDescent="0.3">
      <c r="A67">
        <v>66</v>
      </c>
      <c r="B67" t="s">
        <v>291</v>
      </c>
      <c r="C67" t="s">
        <v>209</v>
      </c>
      <c r="D67" t="s">
        <v>213</v>
      </c>
      <c r="E67" s="2">
        <v>2000000</v>
      </c>
      <c r="F67" t="s">
        <v>287</v>
      </c>
      <c r="G67">
        <f t="shared" ref="G67:G81" si="1">E67/100000</f>
        <v>20</v>
      </c>
    </row>
    <row r="68" spans="1:7" x14ac:dyDescent="0.3">
      <c r="A68">
        <v>67</v>
      </c>
      <c r="B68" t="s">
        <v>177</v>
      </c>
      <c r="C68" t="s">
        <v>209</v>
      </c>
      <c r="D68" t="s">
        <v>215</v>
      </c>
      <c r="E68" s="2">
        <v>2000000</v>
      </c>
      <c r="F68" t="s">
        <v>287</v>
      </c>
      <c r="G68">
        <f t="shared" si="1"/>
        <v>20</v>
      </c>
    </row>
    <row r="69" spans="1:7" x14ac:dyDescent="0.3">
      <c r="A69">
        <v>68</v>
      </c>
      <c r="B69" t="s">
        <v>29</v>
      </c>
      <c r="C69" t="s">
        <v>212</v>
      </c>
      <c r="D69" t="s">
        <v>216</v>
      </c>
      <c r="E69" s="2">
        <v>132500000</v>
      </c>
      <c r="F69" t="s">
        <v>179</v>
      </c>
      <c r="G69">
        <f t="shared" si="1"/>
        <v>1325</v>
      </c>
    </row>
    <row r="70" spans="1:7" x14ac:dyDescent="0.3">
      <c r="A70">
        <v>69</v>
      </c>
      <c r="B70" t="s">
        <v>292</v>
      </c>
      <c r="C70" t="s">
        <v>209</v>
      </c>
      <c r="D70" t="s">
        <v>216</v>
      </c>
      <c r="E70" s="2">
        <v>82500000</v>
      </c>
      <c r="F70" t="s">
        <v>179</v>
      </c>
      <c r="G70">
        <f t="shared" si="1"/>
        <v>825</v>
      </c>
    </row>
    <row r="71" spans="1:7" x14ac:dyDescent="0.3">
      <c r="A71">
        <v>70</v>
      </c>
      <c r="B71" t="s">
        <v>293</v>
      </c>
      <c r="C71" t="s">
        <v>212</v>
      </c>
      <c r="D71" t="s">
        <v>210</v>
      </c>
      <c r="E71" s="2">
        <v>52500000</v>
      </c>
      <c r="F71" t="s">
        <v>179</v>
      </c>
      <c r="G71">
        <f t="shared" si="1"/>
        <v>525</v>
      </c>
    </row>
    <row r="72" spans="1:7" x14ac:dyDescent="0.3">
      <c r="A72">
        <v>71</v>
      </c>
      <c r="B72" t="s">
        <v>294</v>
      </c>
      <c r="C72" t="s">
        <v>209</v>
      </c>
      <c r="D72" t="s">
        <v>215</v>
      </c>
      <c r="E72" s="2">
        <v>26000000</v>
      </c>
      <c r="F72" t="s">
        <v>179</v>
      </c>
      <c r="G72">
        <f t="shared" si="1"/>
        <v>260</v>
      </c>
    </row>
    <row r="73" spans="1:7" x14ac:dyDescent="0.3">
      <c r="A73">
        <v>72</v>
      </c>
      <c r="B73" t="s">
        <v>295</v>
      </c>
      <c r="C73" t="s">
        <v>212</v>
      </c>
      <c r="D73" t="s">
        <v>213</v>
      </c>
      <c r="E73" s="2">
        <v>20000000</v>
      </c>
      <c r="F73" t="s">
        <v>179</v>
      </c>
      <c r="G73">
        <f t="shared" si="1"/>
        <v>200</v>
      </c>
    </row>
    <row r="74" spans="1:7" x14ac:dyDescent="0.3">
      <c r="A74">
        <v>73</v>
      </c>
      <c r="B74" t="s">
        <v>296</v>
      </c>
      <c r="C74" t="s">
        <v>209</v>
      </c>
      <c r="D74" t="s">
        <v>215</v>
      </c>
      <c r="E74" s="2">
        <v>18000000</v>
      </c>
      <c r="F74" t="s">
        <v>179</v>
      </c>
      <c r="G74">
        <f t="shared" si="1"/>
        <v>180</v>
      </c>
    </row>
    <row r="75" spans="1:7" x14ac:dyDescent="0.3">
      <c r="A75">
        <v>74</v>
      </c>
      <c r="B75" t="s">
        <v>297</v>
      </c>
      <c r="C75" t="s">
        <v>212</v>
      </c>
      <c r="D75" t="s">
        <v>213</v>
      </c>
      <c r="E75" s="2">
        <v>10000000</v>
      </c>
      <c r="F75" t="s">
        <v>179</v>
      </c>
      <c r="G75">
        <f t="shared" si="1"/>
        <v>100</v>
      </c>
    </row>
    <row r="76" spans="1:7" x14ac:dyDescent="0.3">
      <c r="A76">
        <v>75</v>
      </c>
      <c r="B76" t="s">
        <v>79</v>
      </c>
      <c r="C76" t="s">
        <v>209</v>
      </c>
      <c r="D76" t="s">
        <v>213</v>
      </c>
      <c r="E76" s="2">
        <v>5000000</v>
      </c>
      <c r="F76" t="s">
        <v>179</v>
      </c>
      <c r="G76">
        <f t="shared" si="1"/>
        <v>50</v>
      </c>
    </row>
    <row r="77" spans="1:7" x14ac:dyDescent="0.3">
      <c r="A77">
        <v>76</v>
      </c>
      <c r="B77" t="s">
        <v>298</v>
      </c>
      <c r="C77" t="s">
        <v>209</v>
      </c>
      <c r="D77" t="s">
        <v>210</v>
      </c>
      <c r="E77" s="2">
        <v>2500000</v>
      </c>
      <c r="F77" t="s">
        <v>179</v>
      </c>
      <c r="G77">
        <f t="shared" si="1"/>
        <v>25</v>
      </c>
    </row>
    <row r="78" spans="1:7" x14ac:dyDescent="0.3">
      <c r="A78">
        <v>77</v>
      </c>
      <c r="B78" t="s">
        <v>299</v>
      </c>
      <c r="C78" t="s">
        <v>209</v>
      </c>
      <c r="D78" t="s">
        <v>215</v>
      </c>
      <c r="E78" s="2">
        <v>2000000</v>
      </c>
      <c r="F78" t="s">
        <v>179</v>
      </c>
      <c r="G78">
        <f t="shared" si="1"/>
        <v>20</v>
      </c>
    </row>
    <row r="79" spans="1:7" x14ac:dyDescent="0.3">
      <c r="A79">
        <v>78</v>
      </c>
      <c r="B79" t="s">
        <v>300</v>
      </c>
      <c r="C79" t="s">
        <v>209</v>
      </c>
      <c r="D79" t="s">
        <v>216</v>
      </c>
      <c r="E79" s="2">
        <v>2000000</v>
      </c>
      <c r="F79" t="s">
        <v>179</v>
      </c>
      <c r="G79">
        <f t="shared" si="1"/>
        <v>20</v>
      </c>
    </row>
    <row r="80" spans="1:7" x14ac:dyDescent="0.3">
      <c r="A80">
        <v>79</v>
      </c>
      <c r="B80" t="s">
        <v>301</v>
      </c>
      <c r="C80" t="s">
        <v>209</v>
      </c>
      <c r="D80" t="s">
        <v>215</v>
      </c>
      <c r="E80" s="2">
        <v>2000000</v>
      </c>
      <c r="F80" t="s">
        <v>179</v>
      </c>
      <c r="G80">
        <f t="shared" si="1"/>
        <v>20</v>
      </c>
    </row>
    <row r="81" spans="1:7" x14ac:dyDescent="0.3">
      <c r="A81">
        <v>80</v>
      </c>
      <c r="B81" t="s">
        <v>302</v>
      </c>
      <c r="C81" t="s">
        <v>209</v>
      </c>
      <c r="D81" t="s">
        <v>210</v>
      </c>
      <c r="E81" s="2">
        <v>2000000</v>
      </c>
      <c r="F81" t="s">
        <v>179</v>
      </c>
      <c r="G81">
        <f t="shared" si="1"/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workbookViewId="0">
      <selection activeCell="F22" sqref="F22"/>
    </sheetView>
  </sheetViews>
  <sheetFormatPr defaultRowHeight="14.4" x14ac:dyDescent="0.3"/>
  <cols>
    <col min="1" max="1" width="5.5546875" bestFit="1" customWidth="1"/>
    <col min="2" max="2" width="21" bestFit="1" customWidth="1"/>
    <col min="3" max="3" width="10" bestFit="1" customWidth="1"/>
    <col min="4" max="4" width="12.77734375" bestFit="1" customWidth="1"/>
    <col min="5" max="5" width="17.6640625" style="2" bestFit="1" customWidth="1"/>
    <col min="6" max="6" width="24.33203125" bestFit="1" customWidth="1"/>
    <col min="7" max="7" width="13.77734375" bestFit="1" customWidth="1"/>
  </cols>
  <sheetData>
    <row r="1" spans="1:7" x14ac:dyDescent="0.3">
      <c r="A1" t="s">
        <v>202</v>
      </c>
      <c r="B1" t="s">
        <v>203</v>
      </c>
      <c r="C1" t="s">
        <v>204</v>
      </c>
      <c r="D1" t="s">
        <v>205</v>
      </c>
      <c r="E1" s="2" t="s">
        <v>206</v>
      </c>
      <c r="F1" t="s">
        <v>198</v>
      </c>
      <c r="G1" t="s">
        <v>207</v>
      </c>
    </row>
    <row r="2" spans="1:7" x14ac:dyDescent="0.3">
      <c r="A2">
        <v>1</v>
      </c>
      <c r="B2" t="s">
        <v>102</v>
      </c>
      <c r="C2" t="s">
        <v>209</v>
      </c>
      <c r="D2" t="s">
        <v>213</v>
      </c>
      <c r="E2" s="2">
        <v>140000000</v>
      </c>
      <c r="F2" t="s">
        <v>2</v>
      </c>
      <c r="G2">
        <f>E2/100000</f>
        <v>1400</v>
      </c>
    </row>
    <row r="3" spans="1:7" x14ac:dyDescent="0.3">
      <c r="A3">
        <v>2</v>
      </c>
      <c r="B3" t="s">
        <v>303</v>
      </c>
      <c r="C3" t="s">
        <v>209</v>
      </c>
      <c r="D3" t="s">
        <v>304</v>
      </c>
      <c r="E3" s="2">
        <v>67500000</v>
      </c>
      <c r="F3" t="s">
        <v>2</v>
      </c>
      <c r="G3">
        <f t="shared" ref="G3:G66" si="0">E3/100000</f>
        <v>675</v>
      </c>
    </row>
    <row r="4" spans="1:7" x14ac:dyDescent="0.3">
      <c r="A4">
        <v>3</v>
      </c>
      <c r="B4" t="s">
        <v>305</v>
      </c>
      <c r="C4" t="s">
        <v>212</v>
      </c>
      <c r="D4" t="s">
        <v>215</v>
      </c>
      <c r="E4" s="2">
        <v>44000000</v>
      </c>
      <c r="F4" t="s">
        <v>2</v>
      </c>
      <c r="G4">
        <f t="shared" si="0"/>
        <v>440</v>
      </c>
    </row>
    <row r="5" spans="1:7" x14ac:dyDescent="0.3">
      <c r="A5">
        <v>4</v>
      </c>
      <c r="B5" t="s">
        <v>306</v>
      </c>
      <c r="C5" t="s">
        <v>209</v>
      </c>
      <c r="D5" t="s">
        <v>215</v>
      </c>
      <c r="E5" s="2">
        <v>40000000</v>
      </c>
      <c r="F5" t="s">
        <v>2</v>
      </c>
      <c r="G5">
        <f t="shared" si="0"/>
        <v>400</v>
      </c>
    </row>
    <row r="6" spans="1:7" x14ac:dyDescent="0.3">
      <c r="A6">
        <v>5</v>
      </c>
      <c r="B6" t="s">
        <v>307</v>
      </c>
      <c r="C6" t="s">
        <v>212</v>
      </c>
      <c r="D6" t="s">
        <v>215</v>
      </c>
      <c r="E6" s="2">
        <v>36000000</v>
      </c>
      <c r="F6" t="s">
        <v>2</v>
      </c>
      <c r="G6">
        <f t="shared" si="0"/>
        <v>360</v>
      </c>
    </row>
    <row r="7" spans="1:7" x14ac:dyDescent="0.3">
      <c r="A7">
        <v>6</v>
      </c>
      <c r="B7" t="s">
        <v>308</v>
      </c>
      <c r="C7" t="s">
        <v>209</v>
      </c>
      <c r="D7" t="s">
        <v>309</v>
      </c>
      <c r="E7" s="2">
        <v>20000000</v>
      </c>
      <c r="F7" t="s">
        <v>2</v>
      </c>
      <c r="G7">
        <f t="shared" si="0"/>
        <v>200</v>
      </c>
    </row>
    <row r="8" spans="1:7" x14ac:dyDescent="0.3">
      <c r="A8">
        <v>7</v>
      </c>
      <c r="B8" t="s">
        <v>106</v>
      </c>
      <c r="C8" t="s">
        <v>212</v>
      </c>
      <c r="D8" t="s">
        <v>215</v>
      </c>
      <c r="E8" s="2">
        <v>19000000</v>
      </c>
      <c r="F8" t="s">
        <v>2</v>
      </c>
      <c r="G8">
        <f t="shared" si="0"/>
        <v>190</v>
      </c>
    </row>
    <row r="9" spans="1:7" x14ac:dyDescent="0.3">
      <c r="A9">
        <v>8</v>
      </c>
      <c r="B9" t="s">
        <v>310</v>
      </c>
      <c r="C9" t="s">
        <v>212</v>
      </c>
      <c r="D9" t="s">
        <v>213</v>
      </c>
      <c r="E9" s="2">
        <v>19000000</v>
      </c>
      <c r="F9" t="s">
        <v>2</v>
      </c>
      <c r="G9">
        <f t="shared" si="0"/>
        <v>190</v>
      </c>
    </row>
    <row r="10" spans="1:7" x14ac:dyDescent="0.3">
      <c r="A10">
        <v>9</v>
      </c>
      <c r="B10" t="s">
        <v>93</v>
      </c>
      <c r="C10" t="s">
        <v>209</v>
      </c>
      <c r="D10" t="s">
        <v>215</v>
      </c>
      <c r="E10" s="2">
        <v>15000000</v>
      </c>
      <c r="F10" t="s">
        <v>2</v>
      </c>
      <c r="G10">
        <f t="shared" si="0"/>
        <v>150</v>
      </c>
    </row>
    <row r="11" spans="1:7" x14ac:dyDescent="0.3">
      <c r="A11">
        <v>10</v>
      </c>
      <c r="B11" t="s">
        <v>311</v>
      </c>
      <c r="C11" t="s">
        <v>209</v>
      </c>
      <c r="D11" t="s">
        <v>213</v>
      </c>
      <c r="E11" s="2">
        <v>12000000</v>
      </c>
      <c r="F11" t="s">
        <v>2</v>
      </c>
      <c r="G11">
        <f t="shared" si="0"/>
        <v>120</v>
      </c>
    </row>
    <row r="12" spans="1:7" x14ac:dyDescent="0.3">
      <c r="A12">
        <v>11</v>
      </c>
      <c r="B12" t="s">
        <v>4</v>
      </c>
      <c r="C12" t="s">
        <v>212</v>
      </c>
      <c r="D12" t="s">
        <v>309</v>
      </c>
      <c r="E12" s="2">
        <v>10000000</v>
      </c>
      <c r="F12" t="s">
        <v>2</v>
      </c>
      <c r="G12">
        <f t="shared" si="0"/>
        <v>100</v>
      </c>
    </row>
    <row r="13" spans="1:7" x14ac:dyDescent="0.3">
      <c r="A13">
        <v>12</v>
      </c>
      <c r="B13" t="s">
        <v>147</v>
      </c>
      <c r="C13" t="s">
        <v>212</v>
      </c>
      <c r="D13" t="s">
        <v>213</v>
      </c>
      <c r="E13" s="2">
        <v>7000000</v>
      </c>
      <c r="F13" t="s">
        <v>2</v>
      </c>
      <c r="G13">
        <f t="shared" si="0"/>
        <v>70</v>
      </c>
    </row>
    <row r="14" spans="1:7" x14ac:dyDescent="0.3">
      <c r="A14">
        <v>13</v>
      </c>
      <c r="B14" t="s">
        <v>312</v>
      </c>
      <c r="C14" t="s">
        <v>212</v>
      </c>
      <c r="D14" t="s">
        <v>215</v>
      </c>
      <c r="E14" s="2">
        <v>5000000</v>
      </c>
      <c r="F14" t="s">
        <v>2</v>
      </c>
      <c r="G14">
        <f t="shared" si="0"/>
        <v>50</v>
      </c>
    </row>
    <row r="15" spans="1:7" x14ac:dyDescent="0.3">
      <c r="A15">
        <v>14</v>
      </c>
      <c r="B15" t="s">
        <v>313</v>
      </c>
      <c r="C15" t="s">
        <v>209</v>
      </c>
      <c r="D15" t="s">
        <v>309</v>
      </c>
      <c r="E15" s="2">
        <v>2000000</v>
      </c>
      <c r="F15" t="s">
        <v>2</v>
      </c>
      <c r="G15">
        <f t="shared" si="0"/>
        <v>20</v>
      </c>
    </row>
    <row r="16" spans="1:7" x14ac:dyDescent="0.3">
      <c r="A16">
        <v>15</v>
      </c>
      <c r="B16" t="s">
        <v>264</v>
      </c>
      <c r="C16" t="s">
        <v>209</v>
      </c>
      <c r="D16" t="s">
        <v>304</v>
      </c>
      <c r="E16" s="2">
        <v>2000000</v>
      </c>
      <c r="F16" t="s">
        <v>2</v>
      </c>
      <c r="G16">
        <f t="shared" si="0"/>
        <v>20</v>
      </c>
    </row>
    <row r="17" spans="1:7" x14ac:dyDescent="0.3">
      <c r="A17">
        <v>16</v>
      </c>
      <c r="B17" t="s">
        <v>283</v>
      </c>
      <c r="C17" t="s">
        <v>209</v>
      </c>
      <c r="D17" t="s">
        <v>213</v>
      </c>
      <c r="E17" s="2">
        <v>2000000</v>
      </c>
      <c r="F17" t="s">
        <v>2</v>
      </c>
      <c r="G17">
        <f t="shared" si="0"/>
        <v>20</v>
      </c>
    </row>
    <row r="18" spans="1:7" x14ac:dyDescent="0.3">
      <c r="A18">
        <v>17</v>
      </c>
      <c r="B18" t="s">
        <v>145</v>
      </c>
      <c r="C18" t="s">
        <v>209</v>
      </c>
      <c r="D18" t="s">
        <v>213</v>
      </c>
      <c r="E18" s="2">
        <v>2000000</v>
      </c>
      <c r="F18" t="s">
        <v>2</v>
      </c>
      <c r="G18">
        <f t="shared" si="0"/>
        <v>20</v>
      </c>
    </row>
    <row r="19" spans="1:7" x14ac:dyDescent="0.3">
      <c r="A19">
        <v>18</v>
      </c>
      <c r="B19" t="s">
        <v>185</v>
      </c>
      <c r="C19" t="s">
        <v>209</v>
      </c>
      <c r="D19" t="s">
        <v>213</v>
      </c>
      <c r="E19" s="2">
        <v>2000000</v>
      </c>
      <c r="F19" t="s">
        <v>2</v>
      </c>
      <c r="G19">
        <f t="shared" si="0"/>
        <v>20</v>
      </c>
    </row>
    <row r="20" spans="1:7" x14ac:dyDescent="0.3">
      <c r="A20">
        <v>19</v>
      </c>
      <c r="B20" t="s">
        <v>314</v>
      </c>
      <c r="C20" t="s">
        <v>209</v>
      </c>
      <c r="D20" t="s">
        <v>309</v>
      </c>
      <c r="E20" s="2">
        <v>2000000</v>
      </c>
      <c r="F20" t="s">
        <v>2</v>
      </c>
      <c r="G20">
        <f t="shared" si="0"/>
        <v>20</v>
      </c>
    </row>
    <row r="21" spans="1:7" x14ac:dyDescent="0.3">
      <c r="A21">
        <v>20</v>
      </c>
      <c r="B21" t="s">
        <v>21</v>
      </c>
      <c r="C21" t="s">
        <v>209</v>
      </c>
      <c r="D21" t="s">
        <v>213</v>
      </c>
      <c r="E21" s="2">
        <v>2000000</v>
      </c>
      <c r="F21" t="s">
        <v>2</v>
      </c>
      <c r="G21">
        <f t="shared" si="0"/>
        <v>20</v>
      </c>
    </row>
    <row r="22" spans="1:7" x14ac:dyDescent="0.3">
      <c r="A22">
        <v>21</v>
      </c>
      <c r="B22" t="s">
        <v>315</v>
      </c>
      <c r="C22" t="s">
        <v>209</v>
      </c>
      <c r="D22" t="s">
        <v>215</v>
      </c>
      <c r="E22" s="2">
        <v>2000000</v>
      </c>
      <c r="F22" t="s">
        <v>2</v>
      </c>
      <c r="G22">
        <f t="shared" si="0"/>
        <v>20</v>
      </c>
    </row>
    <row r="23" spans="1:7" x14ac:dyDescent="0.3">
      <c r="A23">
        <v>22</v>
      </c>
      <c r="B23" t="s">
        <v>217</v>
      </c>
      <c r="C23" t="s">
        <v>209</v>
      </c>
      <c r="D23" t="s">
        <v>213</v>
      </c>
      <c r="E23" s="2">
        <v>107500000</v>
      </c>
      <c r="F23" t="s">
        <v>24</v>
      </c>
      <c r="G23">
        <f t="shared" si="0"/>
        <v>1075</v>
      </c>
    </row>
    <row r="24" spans="1:7" x14ac:dyDescent="0.3">
      <c r="A24">
        <v>23</v>
      </c>
      <c r="B24" t="s">
        <v>86</v>
      </c>
      <c r="C24" t="s">
        <v>212</v>
      </c>
      <c r="D24" t="s">
        <v>215</v>
      </c>
      <c r="E24" s="2">
        <v>65000000</v>
      </c>
      <c r="F24" t="s">
        <v>24</v>
      </c>
      <c r="G24">
        <f t="shared" si="0"/>
        <v>650</v>
      </c>
    </row>
    <row r="25" spans="1:7" x14ac:dyDescent="0.3">
      <c r="A25">
        <v>24</v>
      </c>
      <c r="B25" t="s">
        <v>316</v>
      </c>
      <c r="C25" t="s">
        <v>212</v>
      </c>
      <c r="D25" t="s">
        <v>309</v>
      </c>
      <c r="E25" s="2">
        <v>62500000</v>
      </c>
      <c r="F25" t="s">
        <v>24</v>
      </c>
      <c r="G25">
        <f t="shared" si="0"/>
        <v>625</v>
      </c>
    </row>
    <row r="26" spans="1:7" x14ac:dyDescent="0.3">
      <c r="A26">
        <v>25</v>
      </c>
      <c r="B26" t="s">
        <v>5</v>
      </c>
      <c r="C26" t="s">
        <v>209</v>
      </c>
      <c r="D26" t="s">
        <v>213</v>
      </c>
      <c r="E26" s="2">
        <v>52500000</v>
      </c>
      <c r="F26" t="s">
        <v>24</v>
      </c>
      <c r="G26">
        <f t="shared" si="0"/>
        <v>525</v>
      </c>
    </row>
    <row r="27" spans="1:7" x14ac:dyDescent="0.3">
      <c r="A27">
        <v>26</v>
      </c>
      <c r="B27" t="s">
        <v>231</v>
      </c>
      <c r="C27" t="s">
        <v>209</v>
      </c>
      <c r="D27" t="s">
        <v>213</v>
      </c>
      <c r="E27" s="2">
        <v>42000000</v>
      </c>
      <c r="F27" t="s">
        <v>24</v>
      </c>
      <c r="G27">
        <f t="shared" si="0"/>
        <v>420</v>
      </c>
    </row>
    <row r="28" spans="1:7" x14ac:dyDescent="0.3">
      <c r="A28">
        <v>27</v>
      </c>
      <c r="B28" t="s">
        <v>74</v>
      </c>
      <c r="C28" t="s">
        <v>212</v>
      </c>
      <c r="D28" t="s">
        <v>309</v>
      </c>
      <c r="E28" s="2">
        <v>28000000</v>
      </c>
      <c r="F28" t="s">
        <v>24</v>
      </c>
      <c r="G28">
        <f t="shared" si="0"/>
        <v>280</v>
      </c>
    </row>
    <row r="29" spans="1:7" x14ac:dyDescent="0.3">
      <c r="A29">
        <v>28</v>
      </c>
      <c r="B29" t="s">
        <v>211</v>
      </c>
      <c r="C29" t="s">
        <v>212</v>
      </c>
      <c r="D29" t="s">
        <v>213</v>
      </c>
      <c r="E29" s="2">
        <v>20000000</v>
      </c>
      <c r="F29" t="s">
        <v>24</v>
      </c>
      <c r="G29">
        <f t="shared" si="0"/>
        <v>200</v>
      </c>
    </row>
    <row r="30" spans="1:7" x14ac:dyDescent="0.3">
      <c r="A30">
        <v>29</v>
      </c>
      <c r="B30" t="s">
        <v>317</v>
      </c>
      <c r="C30" t="s">
        <v>209</v>
      </c>
      <c r="D30" t="s">
        <v>213</v>
      </c>
      <c r="E30" s="2">
        <v>20000000</v>
      </c>
      <c r="F30" t="s">
        <v>24</v>
      </c>
      <c r="G30">
        <f t="shared" si="0"/>
        <v>200</v>
      </c>
    </row>
    <row r="31" spans="1:7" x14ac:dyDescent="0.3">
      <c r="A31">
        <v>30</v>
      </c>
      <c r="B31" t="s">
        <v>230</v>
      </c>
      <c r="C31" t="s">
        <v>209</v>
      </c>
      <c r="D31" t="s">
        <v>304</v>
      </c>
      <c r="E31" s="2">
        <v>20000000</v>
      </c>
      <c r="F31" t="s">
        <v>24</v>
      </c>
      <c r="G31">
        <f t="shared" si="0"/>
        <v>200</v>
      </c>
    </row>
    <row r="32" spans="1:7" x14ac:dyDescent="0.3">
      <c r="A32">
        <v>31</v>
      </c>
      <c r="B32" t="s">
        <v>20</v>
      </c>
      <c r="C32" t="s">
        <v>209</v>
      </c>
      <c r="D32" t="s">
        <v>215</v>
      </c>
      <c r="E32" s="2">
        <v>11000000</v>
      </c>
      <c r="F32" t="s">
        <v>24</v>
      </c>
      <c r="G32">
        <f t="shared" si="0"/>
        <v>110</v>
      </c>
    </row>
    <row r="33" spans="1:7" x14ac:dyDescent="0.3">
      <c r="A33">
        <v>32</v>
      </c>
      <c r="B33" t="s">
        <v>265</v>
      </c>
      <c r="C33" t="s">
        <v>209</v>
      </c>
      <c r="D33" t="s">
        <v>309</v>
      </c>
      <c r="E33" s="2">
        <v>11000000</v>
      </c>
      <c r="F33" t="s">
        <v>24</v>
      </c>
      <c r="G33">
        <f t="shared" si="0"/>
        <v>110</v>
      </c>
    </row>
    <row r="34" spans="1:7" x14ac:dyDescent="0.3">
      <c r="A34">
        <v>33</v>
      </c>
      <c r="B34" t="s">
        <v>318</v>
      </c>
      <c r="C34" t="s">
        <v>209</v>
      </c>
      <c r="D34" t="s">
        <v>215</v>
      </c>
      <c r="E34" s="2">
        <v>6500000</v>
      </c>
      <c r="F34" t="s">
        <v>24</v>
      </c>
      <c r="G34">
        <f t="shared" si="0"/>
        <v>65</v>
      </c>
    </row>
    <row r="35" spans="1:7" x14ac:dyDescent="0.3">
      <c r="A35">
        <v>34</v>
      </c>
      <c r="B35" t="s">
        <v>172</v>
      </c>
      <c r="C35" t="s">
        <v>212</v>
      </c>
      <c r="D35" t="s">
        <v>213</v>
      </c>
      <c r="E35" s="2">
        <v>5000000</v>
      </c>
      <c r="F35" t="s">
        <v>24</v>
      </c>
      <c r="G35">
        <f t="shared" si="0"/>
        <v>50</v>
      </c>
    </row>
    <row r="36" spans="1:7" x14ac:dyDescent="0.3">
      <c r="A36">
        <v>35</v>
      </c>
      <c r="B36" t="s">
        <v>319</v>
      </c>
      <c r="C36" t="s">
        <v>209</v>
      </c>
      <c r="D36" t="s">
        <v>215</v>
      </c>
      <c r="E36" s="2">
        <v>5000000</v>
      </c>
      <c r="F36" t="s">
        <v>24</v>
      </c>
      <c r="G36">
        <f t="shared" si="0"/>
        <v>50</v>
      </c>
    </row>
    <row r="37" spans="1:7" x14ac:dyDescent="0.3">
      <c r="A37">
        <v>36</v>
      </c>
      <c r="B37" t="s">
        <v>320</v>
      </c>
      <c r="C37" t="s">
        <v>212</v>
      </c>
      <c r="D37" t="s">
        <v>304</v>
      </c>
      <c r="E37" s="2">
        <v>5000000</v>
      </c>
      <c r="F37" t="s">
        <v>24</v>
      </c>
      <c r="G37">
        <f t="shared" si="0"/>
        <v>50</v>
      </c>
    </row>
    <row r="38" spans="1:7" x14ac:dyDescent="0.3">
      <c r="A38">
        <v>37</v>
      </c>
      <c r="B38" t="s">
        <v>138</v>
      </c>
      <c r="C38" t="s">
        <v>209</v>
      </c>
      <c r="D38" t="s">
        <v>215</v>
      </c>
      <c r="E38" s="2">
        <v>5000000</v>
      </c>
      <c r="F38" t="s">
        <v>24</v>
      </c>
      <c r="G38">
        <f t="shared" si="0"/>
        <v>50</v>
      </c>
    </row>
    <row r="39" spans="1:7" x14ac:dyDescent="0.3">
      <c r="A39">
        <v>38</v>
      </c>
      <c r="B39" t="s">
        <v>321</v>
      </c>
      <c r="C39" t="s">
        <v>209</v>
      </c>
      <c r="D39" t="s">
        <v>309</v>
      </c>
      <c r="E39" s="2">
        <v>2000000</v>
      </c>
      <c r="F39" t="s">
        <v>24</v>
      </c>
      <c r="G39">
        <f t="shared" si="0"/>
        <v>20</v>
      </c>
    </row>
    <row r="40" spans="1:7" x14ac:dyDescent="0.3">
      <c r="A40">
        <v>39</v>
      </c>
      <c r="B40" t="s">
        <v>322</v>
      </c>
      <c r="C40" t="s">
        <v>209</v>
      </c>
      <c r="D40" t="s">
        <v>215</v>
      </c>
      <c r="E40" s="2">
        <v>2000000</v>
      </c>
      <c r="F40" t="s">
        <v>24</v>
      </c>
      <c r="G40">
        <f t="shared" si="0"/>
        <v>20</v>
      </c>
    </row>
    <row r="41" spans="1:7" x14ac:dyDescent="0.3">
      <c r="A41">
        <v>40</v>
      </c>
      <c r="B41" t="s">
        <v>323</v>
      </c>
      <c r="C41" t="s">
        <v>209</v>
      </c>
      <c r="D41" t="s">
        <v>215</v>
      </c>
      <c r="E41" s="2">
        <v>2000000</v>
      </c>
      <c r="F41" t="s">
        <v>24</v>
      </c>
      <c r="G41">
        <f t="shared" si="0"/>
        <v>20</v>
      </c>
    </row>
    <row r="42" spans="1:7" x14ac:dyDescent="0.3">
      <c r="A42">
        <v>41</v>
      </c>
      <c r="B42" t="s">
        <v>324</v>
      </c>
      <c r="C42" t="s">
        <v>209</v>
      </c>
      <c r="D42" t="s">
        <v>215</v>
      </c>
      <c r="E42" s="2">
        <v>2000000</v>
      </c>
      <c r="F42" t="s">
        <v>24</v>
      </c>
      <c r="G42">
        <f t="shared" si="0"/>
        <v>20</v>
      </c>
    </row>
    <row r="43" spans="1:7" x14ac:dyDescent="0.3">
      <c r="A43">
        <v>42</v>
      </c>
      <c r="B43" t="s">
        <v>130</v>
      </c>
      <c r="C43" t="s">
        <v>212</v>
      </c>
      <c r="D43" t="s">
        <v>213</v>
      </c>
      <c r="E43" s="2">
        <v>100000000</v>
      </c>
      <c r="F43" t="s">
        <v>44</v>
      </c>
      <c r="G43">
        <f t="shared" si="0"/>
        <v>1000</v>
      </c>
    </row>
    <row r="44" spans="1:7" x14ac:dyDescent="0.3">
      <c r="A44">
        <v>43</v>
      </c>
      <c r="B44" t="s">
        <v>325</v>
      </c>
      <c r="C44" t="s">
        <v>209</v>
      </c>
      <c r="D44" t="s">
        <v>215</v>
      </c>
      <c r="E44" s="2">
        <v>90000000</v>
      </c>
      <c r="F44" t="s">
        <v>44</v>
      </c>
      <c r="G44">
        <f t="shared" si="0"/>
        <v>900</v>
      </c>
    </row>
    <row r="45" spans="1:7" x14ac:dyDescent="0.3">
      <c r="A45">
        <v>44</v>
      </c>
      <c r="B45" t="s">
        <v>180</v>
      </c>
      <c r="C45" t="s">
        <v>209</v>
      </c>
      <c r="D45" t="s">
        <v>213</v>
      </c>
      <c r="E45" s="2">
        <v>62500000</v>
      </c>
      <c r="F45" t="s">
        <v>44</v>
      </c>
      <c r="G45">
        <f t="shared" si="0"/>
        <v>625</v>
      </c>
    </row>
    <row r="46" spans="1:7" x14ac:dyDescent="0.3">
      <c r="A46">
        <v>45</v>
      </c>
      <c r="B46" t="s">
        <v>251</v>
      </c>
      <c r="C46" t="s">
        <v>209</v>
      </c>
      <c r="D46" t="s">
        <v>213</v>
      </c>
      <c r="E46" s="2">
        <v>32000000</v>
      </c>
      <c r="F46" t="s">
        <v>44</v>
      </c>
      <c r="G46">
        <f t="shared" si="0"/>
        <v>320</v>
      </c>
    </row>
    <row r="47" spans="1:7" x14ac:dyDescent="0.3">
      <c r="A47">
        <v>46</v>
      </c>
      <c r="B47" t="s">
        <v>84</v>
      </c>
      <c r="C47" t="s">
        <v>212</v>
      </c>
      <c r="D47" t="s">
        <v>309</v>
      </c>
      <c r="E47" s="2">
        <v>30000000</v>
      </c>
      <c r="F47" t="s">
        <v>44</v>
      </c>
      <c r="G47">
        <f t="shared" si="0"/>
        <v>300</v>
      </c>
    </row>
    <row r="48" spans="1:7" x14ac:dyDescent="0.3">
      <c r="A48">
        <v>47</v>
      </c>
      <c r="B48" t="s">
        <v>52</v>
      </c>
      <c r="C48" t="s">
        <v>209</v>
      </c>
      <c r="D48" t="s">
        <v>213</v>
      </c>
      <c r="E48" s="2">
        <v>30000000</v>
      </c>
      <c r="F48" t="s">
        <v>44</v>
      </c>
      <c r="G48">
        <f t="shared" si="0"/>
        <v>300</v>
      </c>
    </row>
    <row r="49" spans="1:7" x14ac:dyDescent="0.3">
      <c r="A49">
        <v>48</v>
      </c>
      <c r="B49" t="s">
        <v>326</v>
      </c>
      <c r="C49" t="s">
        <v>209</v>
      </c>
      <c r="D49" t="s">
        <v>309</v>
      </c>
      <c r="E49" s="2">
        <v>26000000</v>
      </c>
      <c r="F49" t="s">
        <v>44</v>
      </c>
      <c r="G49">
        <f t="shared" si="0"/>
        <v>260</v>
      </c>
    </row>
    <row r="50" spans="1:7" x14ac:dyDescent="0.3">
      <c r="A50">
        <v>49</v>
      </c>
      <c r="B50" t="s">
        <v>327</v>
      </c>
      <c r="C50" t="s">
        <v>212</v>
      </c>
      <c r="D50" t="s">
        <v>304</v>
      </c>
      <c r="E50" s="2">
        <v>24000000</v>
      </c>
      <c r="F50" t="s">
        <v>44</v>
      </c>
      <c r="G50">
        <f t="shared" si="0"/>
        <v>240</v>
      </c>
    </row>
    <row r="51" spans="1:7" x14ac:dyDescent="0.3">
      <c r="A51">
        <v>50</v>
      </c>
      <c r="B51" t="s">
        <v>250</v>
      </c>
      <c r="C51" t="s">
        <v>212</v>
      </c>
      <c r="D51" t="s">
        <v>213</v>
      </c>
      <c r="E51" s="2">
        <v>24000000</v>
      </c>
      <c r="F51" t="s">
        <v>44</v>
      </c>
      <c r="G51">
        <f t="shared" si="0"/>
        <v>240</v>
      </c>
    </row>
    <row r="52" spans="1:7" x14ac:dyDescent="0.3">
      <c r="A52">
        <v>51</v>
      </c>
      <c r="B52" t="s">
        <v>328</v>
      </c>
      <c r="C52" t="s">
        <v>212</v>
      </c>
      <c r="D52" t="s">
        <v>309</v>
      </c>
      <c r="E52" s="2">
        <v>20000000</v>
      </c>
      <c r="F52" t="s">
        <v>44</v>
      </c>
      <c r="G52">
        <f t="shared" si="0"/>
        <v>200</v>
      </c>
    </row>
    <row r="53" spans="1:7" x14ac:dyDescent="0.3">
      <c r="A53">
        <v>52</v>
      </c>
      <c r="B53" t="s">
        <v>329</v>
      </c>
      <c r="C53" t="s">
        <v>209</v>
      </c>
      <c r="D53" t="s">
        <v>304</v>
      </c>
      <c r="E53" s="2">
        <v>19000000</v>
      </c>
      <c r="F53" t="s">
        <v>44</v>
      </c>
      <c r="G53">
        <f t="shared" si="0"/>
        <v>190</v>
      </c>
    </row>
    <row r="54" spans="1:7" x14ac:dyDescent="0.3">
      <c r="A54">
        <v>53</v>
      </c>
      <c r="B54" t="s">
        <v>57</v>
      </c>
      <c r="C54" t="s">
        <v>209</v>
      </c>
      <c r="D54" t="s">
        <v>215</v>
      </c>
      <c r="E54" s="2">
        <v>17000000</v>
      </c>
      <c r="F54" t="s">
        <v>44</v>
      </c>
      <c r="G54">
        <f t="shared" si="0"/>
        <v>170</v>
      </c>
    </row>
    <row r="55" spans="1:7" x14ac:dyDescent="0.3">
      <c r="A55">
        <v>54</v>
      </c>
      <c r="B55" t="s">
        <v>15</v>
      </c>
      <c r="C55" t="s">
        <v>209</v>
      </c>
      <c r="D55" t="s">
        <v>215</v>
      </c>
      <c r="E55" s="2">
        <v>14000000</v>
      </c>
      <c r="F55" t="s">
        <v>44</v>
      </c>
      <c r="G55">
        <f t="shared" si="0"/>
        <v>140</v>
      </c>
    </row>
    <row r="56" spans="1:7" x14ac:dyDescent="0.3">
      <c r="A56">
        <v>55</v>
      </c>
      <c r="B56" t="s">
        <v>330</v>
      </c>
      <c r="C56" t="s">
        <v>212</v>
      </c>
      <c r="D56" t="s">
        <v>215</v>
      </c>
      <c r="E56" s="2">
        <v>11000000</v>
      </c>
      <c r="F56" t="s">
        <v>44</v>
      </c>
      <c r="G56">
        <f t="shared" si="0"/>
        <v>110</v>
      </c>
    </row>
    <row r="57" spans="1:7" x14ac:dyDescent="0.3">
      <c r="A57">
        <v>56</v>
      </c>
      <c r="B57" t="s">
        <v>331</v>
      </c>
      <c r="C57" t="s">
        <v>209</v>
      </c>
      <c r="D57" t="s">
        <v>215</v>
      </c>
      <c r="E57" s="2">
        <v>5000000</v>
      </c>
      <c r="F57" t="s">
        <v>44</v>
      </c>
      <c r="G57">
        <f t="shared" si="0"/>
        <v>50</v>
      </c>
    </row>
    <row r="58" spans="1:7" x14ac:dyDescent="0.3">
      <c r="A58">
        <v>57</v>
      </c>
      <c r="B58" t="s">
        <v>332</v>
      </c>
      <c r="C58" t="s">
        <v>209</v>
      </c>
      <c r="D58" t="s">
        <v>213</v>
      </c>
      <c r="E58" s="2">
        <v>5000000</v>
      </c>
      <c r="F58" t="s">
        <v>44</v>
      </c>
      <c r="G58">
        <f t="shared" si="0"/>
        <v>50</v>
      </c>
    </row>
    <row r="59" spans="1:7" x14ac:dyDescent="0.3">
      <c r="A59">
        <v>58</v>
      </c>
      <c r="B59" t="s">
        <v>0</v>
      </c>
      <c r="C59" t="s">
        <v>212</v>
      </c>
      <c r="D59" t="s">
        <v>213</v>
      </c>
      <c r="E59" s="2">
        <v>3000000</v>
      </c>
      <c r="F59" t="s">
        <v>44</v>
      </c>
      <c r="G59">
        <f t="shared" si="0"/>
        <v>30</v>
      </c>
    </row>
    <row r="60" spans="1:7" x14ac:dyDescent="0.3">
      <c r="A60">
        <v>59</v>
      </c>
      <c r="B60" t="s">
        <v>42</v>
      </c>
      <c r="C60" t="s">
        <v>209</v>
      </c>
      <c r="D60" t="s">
        <v>215</v>
      </c>
      <c r="E60" s="2">
        <v>2000000</v>
      </c>
      <c r="F60" t="s">
        <v>44</v>
      </c>
      <c r="G60">
        <f t="shared" si="0"/>
        <v>20</v>
      </c>
    </row>
    <row r="61" spans="1:7" x14ac:dyDescent="0.3">
      <c r="A61">
        <v>60</v>
      </c>
      <c r="B61" t="s">
        <v>333</v>
      </c>
      <c r="C61" t="s">
        <v>209</v>
      </c>
      <c r="D61" t="s">
        <v>215</v>
      </c>
      <c r="E61" s="2">
        <v>2000000</v>
      </c>
      <c r="F61" t="s">
        <v>44</v>
      </c>
      <c r="G61">
        <f t="shared" si="0"/>
        <v>20</v>
      </c>
    </row>
    <row r="62" spans="1:7" x14ac:dyDescent="0.3">
      <c r="A62">
        <v>61</v>
      </c>
      <c r="B62" t="s">
        <v>334</v>
      </c>
      <c r="C62" t="s">
        <v>209</v>
      </c>
      <c r="D62" t="s">
        <v>215</v>
      </c>
      <c r="E62" s="2">
        <v>2000000</v>
      </c>
      <c r="F62" t="s">
        <v>44</v>
      </c>
      <c r="G62">
        <f t="shared" si="0"/>
        <v>20</v>
      </c>
    </row>
    <row r="63" spans="1:7" x14ac:dyDescent="0.3">
      <c r="A63">
        <v>62</v>
      </c>
      <c r="B63" t="s">
        <v>119</v>
      </c>
      <c r="C63" t="s">
        <v>209</v>
      </c>
      <c r="D63" t="s">
        <v>309</v>
      </c>
      <c r="E63" s="2">
        <v>122500000</v>
      </c>
      <c r="F63" t="s">
        <v>65</v>
      </c>
      <c r="G63">
        <f t="shared" si="0"/>
        <v>1225</v>
      </c>
    </row>
    <row r="64" spans="1:7" x14ac:dyDescent="0.3">
      <c r="A64">
        <v>63</v>
      </c>
      <c r="B64" t="s">
        <v>148</v>
      </c>
      <c r="C64" t="s">
        <v>209</v>
      </c>
      <c r="D64" t="s">
        <v>215</v>
      </c>
      <c r="E64" s="2">
        <v>80000000</v>
      </c>
      <c r="F64" t="s">
        <v>65</v>
      </c>
      <c r="G64">
        <f t="shared" si="0"/>
        <v>800</v>
      </c>
    </row>
    <row r="65" spans="1:7" x14ac:dyDescent="0.3">
      <c r="A65">
        <v>64</v>
      </c>
      <c r="B65" t="s">
        <v>253</v>
      </c>
      <c r="C65" t="s">
        <v>212</v>
      </c>
      <c r="D65" t="s">
        <v>215</v>
      </c>
      <c r="E65" s="2">
        <v>72500000</v>
      </c>
      <c r="F65" t="s">
        <v>65</v>
      </c>
      <c r="G65">
        <f t="shared" si="0"/>
        <v>725</v>
      </c>
    </row>
    <row r="66" spans="1:7" x14ac:dyDescent="0.3">
      <c r="A66">
        <v>65</v>
      </c>
      <c r="B66" t="s">
        <v>235</v>
      </c>
      <c r="C66" t="s">
        <v>209</v>
      </c>
      <c r="D66" t="s">
        <v>215</v>
      </c>
      <c r="E66" s="2">
        <v>72500000</v>
      </c>
      <c r="F66" t="s">
        <v>65</v>
      </c>
      <c r="G66">
        <f t="shared" si="0"/>
        <v>725</v>
      </c>
    </row>
    <row r="67" spans="1:7" x14ac:dyDescent="0.3">
      <c r="A67">
        <v>66</v>
      </c>
      <c r="B67" t="s">
        <v>335</v>
      </c>
      <c r="C67" t="s">
        <v>212</v>
      </c>
      <c r="D67" t="s">
        <v>304</v>
      </c>
      <c r="E67" s="2">
        <v>20000000</v>
      </c>
      <c r="F67" t="s">
        <v>65</v>
      </c>
      <c r="G67">
        <f t="shared" ref="G67:G130" si="1">E67/100000</f>
        <v>200</v>
      </c>
    </row>
    <row r="68" spans="1:7" x14ac:dyDescent="0.3">
      <c r="A68">
        <v>67</v>
      </c>
      <c r="B68" t="s">
        <v>226</v>
      </c>
      <c r="C68" t="s">
        <v>209</v>
      </c>
      <c r="D68" t="s">
        <v>213</v>
      </c>
      <c r="E68" s="2">
        <v>20000000</v>
      </c>
      <c r="F68" t="s">
        <v>65</v>
      </c>
      <c r="G68">
        <f t="shared" si="1"/>
        <v>200</v>
      </c>
    </row>
    <row r="69" spans="1:7" x14ac:dyDescent="0.3">
      <c r="A69">
        <v>68</v>
      </c>
      <c r="B69" t="s">
        <v>336</v>
      </c>
      <c r="C69" t="s">
        <v>212</v>
      </c>
      <c r="D69" t="s">
        <v>309</v>
      </c>
      <c r="E69" s="2">
        <v>15000000</v>
      </c>
      <c r="F69" t="s">
        <v>65</v>
      </c>
      <c r="G69">
        <f t="shared" si="1"/>
        <v>150</v>
      </c>
    </row>
    <row r="70" spans="1:7" x14ac:dyDescent="0.3">
      <c r="A70">
        <v>69</v>
      </c>
      <c r="B70" t="s">
        <v>337</v>
      </c>
      <c r="C70" t="s">
        <v>212</v>
      </c>
      <c r="D70" t="s">
        <v>213</v>
      </c>
      <c r="E70" s="2">
        <v>15000000</v>
      </c>
      <c r="F70" t="s">
        <v>65</v>
      </c>
      <c r="G70">
        <f t="shared" si="1"/>
        <v>150</v>
      </c>
    </row>
    <row r="71" spans="1:7" x14ac:dyDescent="0.3">
      <c r="A71">
        <v>70</v>
      </c>
      <c r="B71" t="s">
        <v>238</v>
      </c>
      <c r="C71" t="s">
        <v>212</v>
      </c>
      <c r="D71" t="s">
        <v>215</v>
      </c>
      <c r="E71" s="2">
        <v>10000000</v>
      </c>
      <c r="F71" t="s">
        <v>65</v>
      </c>
      <c r="G71">
        <f t="shared" si="1"/>
        <v>100</v>
      </c>
    </row>
    <row r="72" spans="1:7" x14ac:dyDescent="0.3">
      <c r="A72">
        <v>71</v>
      </c>
      <c r="B72" t="s">
        <v>73</v>
      </c>
      <c r="C72" t="s">
        <v>209</v>
      </c>
      <c r="D72" t="s">
        <v>309</v>
      </c>
      <c r="E72" s="2">
        <v>10000000</v>
      </c>
      <c r="F72" t="s">
        <v>65</v>
      </c>
      <c r="G72">
        <f t="shared" si="1"/>
        <v>100</v>
      </c>
    </row>
    <row r="73" spans="1:7" x14ac:dyDescent="0.3">
      <c r="A73">
        <v>72</v>
      </c>
      <c r="B73" t="s">
        <v>338</v>
      </c>
      <c r="C73" t="s">
        <v>209</v>
      </c>
      <c r="D73" t="s">
        <v>304</v>
      </c>
      <c r="E73" s="2">
        <v>6000000</v>
      </c>
      <c r="F73" t="s">
        <v>65</v>
      </c>
      <c r="G73">
        <f t="shared" si="1"/>
        <v>60</v>
      </c>
    </row>
    <row r="74" spans="1:7" x14ac:dyDescent="0.3">
      <c r="A74">
        <v>73</v>
      </c>
      <c r="B74" t="s">
        <v>339</v>
      </c>
      <c r="C74" t="s">
        <v>209</v>
      </c>
      <c r="D74" t="s">
        <v>309</v>
      </c>
      <c r="E74" s="2">
        <v>5500000</v>
      </c>
      <c r="F74" t="s">
        <v>65</v>
      </c>
      <c r="G74">
        <f t="shared" si="1"/>
        <v>55</v>
      </c>
    </row>
    <row r="75" spans="1:7" x14ac:dyDescent="0.3">
      <c r="A75">
        <v>74</v>
      </c>
      <c r="B75" t="s">
        <v>155</v>
      </c>
      <c r="C75" t="s">
        <v>209</v>
      </c>
      <c r="D75" t="s">
        <v>213</v>
      </c>
      <c r="E75" s="2">
        <v>5500000</v>
      </c>
      <c r="F75" t="s">
        <v>65</v>
      </c>
      <c r="G75">
        <f t="shared" si="1"/>
        <v>55</v>
      </c>
    </row>
    <row r="76" spans="1:7" x14ac:dyDescent="0.3">
      <c r="A76">
        <v>75</v>
      </c>
      <c r="B76" t="s">
        <v>340</v>
      </c>
      <c r="C76" t="s">
        <v>212</v>
      </c>
      <c r="D76" t="s">
        <v>215</v>
      </c>
      <c r="E76" s="2">
        <v>5000000</v>
      </c>
      <c r="F76" t="s">
        <v>65</v>
      </c>
      <c r="G76">
        <f t="shared" si="1"/>
        <v>50</v>
      </c>
    </row>
    <row r="77" spans="1:7" x14ac:dyDescent="0.3">
      <c r="A77">
        <v>76</v>
      </c>
      <c r="B77" t="s">
        <v>341</v>
      </c>
      <c r="C77" t="s">
        <v>209</v>
      </c>
      <c r="D77" t="s">
        <v>309</v>
      </c>
      <c r="E77" s="2">
        <v>4000000</v>
      </c>
      <c r="F77" t="s">
        <v>65</v>
      </c>
      <c r="G77">
        <f t="shared" si="1"/>
        <v>40</v>
      </c>
    </row>
    <row r="78" spans="1:7" x14ac:dyDescent="0.3">
      <c r="A78">
        <v>77</v>
      </c>
      <c r="B78" t="s">
        <v>77</v>
      </c>
      <c r="C78" t="s">
        <v>209</v>
      </c>
      <c r="D78" t="s">
        <v>215</v>
      </c>
      <c r="E78" s="2">
        <v>2000000</v>
      </c>
      <c r="F78" t="s">
        <v>65</v>
      </c>
      <c r="G78">
        <f t="shared" si="1"/>
        <v>20</v>
      </c>
    </row>
    <row r="79" spans="1:7" x14ac:dyDescent="0.3">
      <c r="A79">
        <v>78</v>
      </c>
      <c r="B79" t="s">
        <v>164</v>
      </c>
      <c r="C79" t="s">
        <v>209</v>
      </c>
      <c r="D79" t="s">
        <v>213</v>
      </c>
      <c r="E79" s="2">
        <v>2000000</v>
      </c>
      <c r="F79" t="s">
        <v>65</v>
      </c>
      <c r="G79">
        <f t="shared" si="1"/>
        <v>20</v>
      </c>
    </row>
    <row r="80" spans="1:7" x14ac:dyDescent="0.3">
      <c r="A80">
        <v>79</v>
      </c>
      <c r="B80" t="s">
        <v>342</v>
      </c>
      <c r="C80" t="s">
        <v>209</v>
      </c>
      <c r="D80" t="s">
        <v>304</v>
      </c>
      <c r="E80" s="2">
        <v>2000000</v>
      </c>
      <c r="F80" t="s">
        <v>65</v>
      </c>
      <c r="G80">
        <f t="shared" si="1"/>
        <v>20</v>
      </c>
    </row>
    <row r="81" spans="1:7" x14ac:dyDescent="0.3">
      <c r="A81">
        <v>80</v>
      </c>
      <c r="B81" t="s">
        <v>343</v>
      </c>
      <c r="C81" t="s">
        <v>209</v>
      </c>
      <c r="D81" t="s">
        <v>215</v>
      </c>
      <c r="E81" s="2">
        <v>2000000</v>
      </c>
      <c r="F81" t="s">
        <v>65</v>
      </c>
      <c r="G81">
        <f t="shared" si="1"/>
        <v>20</v>
      </c>
    </row>
    <row r="82" spans="1:7" x14ac:dyDescent="0.3">
      <c r="A82">
        <v>81</v>
      </c>
      <c r="B82" t="s">
        <v>344</v>
      </c>
      <c r="C82" t="s">
        <v>209</v>
      </c>
      <c r="D82" t="s">
        <v>309</v>
      </c>
      <c r="E82" s="2">
        <v>2000000</v>
      </c>
      <c r="F82" t="s">
        <v>65</v>
      </c>
      <c r="G82">
        <f t="shared" si="1"/>
        <v>20</v>
      </c>
    </row>
    <row r="83" spans="1:7" x14ac:dyDescent="0.3">
      <c r="A83">
        <v>82</v>
      </c>
      <c r="B83" t="s">
        <v>345</v>
      </c>
      <c r="C83" t="s">
        <v>209</v>
      </c>
      <c r="D83" t="s">
        <v>309</v>
      </c>
      <c r="E83" s="2">
        <v>2000000</v>
      </c>
      <c r="F83" t="s">
        <v>65</v>
      </c>
      <c r="G83">
        <f t="shared" si="1"/>
        <v>20</v>
      </c>
    </row>
    <row r="84" spans="1:7" x14ac:dyDescent="0.3">
      <c r="A84">
        <v>83</v>
      </c>
      <c r="B84" t="s">
        <v>82</v>
      </c>
      <c r="C84" t="s">
        <v>209</v>
      </c>
      <c r="D84" t="s">
        <v>213</v>
      </c>
      <c r="E84" s="2">
        <v>100000000</v>
      </c>
      <c r="F84" t="s">
        <v>81</v>
      </c>
      <c r="G84">
        <f t="shared" si="1"/>
        <v>1000</v>
      </c>
    </row>
    <row r="85" spans="1:7" x14ac:dyDescent="0.3">
      <c r="A85">
        <v>84</v>
      </c>
      <c r="B85" t="s">
        <v>281</v>
      </c>
      <c r="C85" t="s">
        <v>212</v>
      </c>
      <c r="D85" t="s">
        <v>215</v>
      </c>
      <c r="E85" s="2">
        <v>87500000</v>
      </c>
      <c r="F85" t="s">
        <v>81</v>
      </c>
      <c r="G85">
        <f t="shared" si="1"/>
        <v>875</v>
      </c>
    </row>
    <row r="86" spans="1:7" x14ac:dyDescent="0.3">
      <c r="A86">
        <v>85</v>
      </c>
      <c r="B86" t="s">
        <v>165</v>
      </c>
      <c r="C86" t="s">
        <v>209</v>
      </c>
      <c r="D86" t="s">
        <v>215</v>
      </c>
      <c r="E86" s="2">
        <v>82500000</v>
      </c>
      <c r="F86" t="s">
        <v>81</v>
      </c>
      <c r="G86">
        <f t="shared" si="1"/>
        <v>825</v>
      </c>
    </row>
    <row r="87" spans="1:7" x14ac:dyDescent="0.3">
      <c r="A87">
        <v>86</v>
      </c>
      <c r="B87" t="s">
        <v>346</v>
      </c>
      <c r="C87" t="s">
        <v>212</v>
      </c>
      <c r="D87" t="s">
        <v>213</v>
      </c>
      <c r="E87" s="2">
        <v>75000000</v>
      </c>
      <c r="F87" t="s">
        <v>81</v>
      </c>
      <c r="G87">
        <f t="shared" si="1"/>
        <v>750</v>
      </c>
    </row>
    <row r="88" spans="1:7" x14ac:dyDescent="0.3">
      <c r="A88">
        <v>87</v>
      </c>
      <c r="B88" t="s">
        <v>67</v>
      </c>
      <c r="C88" t="s">
        <v>212</v>
      </c>
      <c r="D88" t="s">
        <v>304</v>
      </c>
      <c r="E88" s="2">
        <v>67500000</v>
      </c>
      <c r="F88" t="s">
        <v>81</v>
      </c>
      <c r="G88">
        <f t="shared" si="1"/>
        <v>675</v>
      </c>
    </row>
    <row r="89" spans="1:7" x14ac:dyDescent="0.3">
      <c r="A89">
        <v>88</v>
      </c>
      <c r="B89" t="s">
        <v>13</v>
      </c>
      <c r="C89" t="s">
        <v>209</v>
      </c>
      <c r="D89" t="s">
        <v>215</v>
      </c>
      <c r="E89" s="2">
        <v>57500000</v>
      </c>
      <c r="F89" t="s">
        <v>81</v>
      </c>
      <c r="G89">
        <f t="shared" si="1"/>
        <v>575</v>
      </c>
    </row>
    <row r="90" spans="1:7" x14ac:dyDescent="0.3">
      <c r="A90">
        <v>89</v>
      </c>
      <c r="B90" t="s">
        <v>76</v>
      </c>
      <c r="C90" t="s">
        <v>209</v>
      </c>
      <c r="D90" t="s">
        <v>309</v>
      </c>
      <c r="E90" s="2">
        <v>46000000</v>
      </c>
      <c r="F90" t="s">
        <v>81</v>
      </c>
      <c r="G90">
        <f t="shared" si="1"/>
        <v>460</v>
      </c>
    </row>
    <row r="91" spans="1:7" x14ac:dyDescent="0.3">
      <c r="A91">
        <v>90</v>
      </c>
      <c r="B91" t="s">
        <v>347</v>
      </c>
      <c r="C91" t="s">
        <v>212</v>
      </c>
      <c r="D91" t="s">
        <v>213</v>
      </c>
      <c r="E91" s="2">
        <v>20000000</v>
      </c>
      <c r="F91" t="s">
        <v>81</v>
      </c>
      <c r="G91">
        <f t="shared" si="1"/>
        <v>200</v>
      </c>
    </row>
    <row r="92" spans="1:7" x14ac:dyDescent="0.3">
      <c r="A92">
        <v>91</v>
      </c>
      <c r="B92" t="s">
        <v>348</v>
      </c>
      <c r="C92" t="s">
        <v>212</v>
      </c>
      <c r="D92" t="s">
        <v>309</v>
      </c>
      <c r="E92" s="2">
        <v>20000000</v>
      </c>
      <c r="F92" t="s">
        <v>81</v>
      </c>
      <c r="G92">
        <f t="shared" si="1"/>
        <v>200</v>
      </c>
    </row>
    <row r="93" spans="1:7" x14ac:dyDescent="0.3">
      <c r="A93">
        <v>92</v>
      </c>
      <c r="B93" t="s">
        <v>349</v>
      </c>
      <c r="C93" t="s">
        <v>209</v>
      </c>
      <c r="D93" t="s">
        <v>215</v>
      </c>
      <c r="E93" s="2">
        <v>9000000</v>
      </c>
      <c r="F93" t="s">
        <v>81</v>
      </c>
      <c r="G93">
        <f t="shared" si="1"/>
        <v>90</v>
      </c>
    </row>
    <row r="94" spans="1:7" x14ac:dyDescent="0.3">
      <c r="A94">
        <v>93</v>
      </c>
      <c r="B94" t="s">
        <v>350</v>
      </c>
      <c r="C94" t="s">
        <v>209</v>
      </c>
      <c r="D94" t="s">
        <v>213</v>
      </c>
      <c r="E94" s="2">
        <v>5000000</v>
      </c>
      <c r="F94" t="s">
        <v>81</v>
      </c>
      <c r="G94">
        <f t="shared" si="1"/>
        <v>50</v>
      </c>
    </row>
    <row r="95" spans="1:7" x14ac:dyDescent="0.3">
      <c r="A95">
        <v>94</v>
      </c>
      <c r="B95" t="s">
        <v>351</v>
      </c>
      <c r="C95" t="s">
        <v>209</v>
      </c>
      <c r="D95" t="s">
        <v>213</v>
      </c>
      <c r="E95" s="2">
        <v>5000000</v>
      </c>
      <c r="F95" t="s">
        <v>81</v>
      </c>
      <c r="G95">
        <f t="shared" si="1"/>
        <v>50</v>
      </c>
    </row>
    <row r="96" spans="1:7" x14ac:dyDescent="0.3">
      <c r="A96">
        <v>95</v>
      </c>
      <c r="B96" t="s">
        <v>352</v>
      </c>
      <c r="C96" t="s">
        <v>212</v>
      </c>
      <c r="D96" t="s">
        <v>215</v>
      </c>
      <c r="E96" s="2">
        <v>5000000</v>
      </c>
      <c r="F96" t="s">
        <v>81</v>
      </c>
      <c r="G96">
        <f t="shared" si="1"/>
        <v>50</v>
      </c>
    </row>
    <row r="97" spans="1:7" x14ac:dyDescent="0.3">
      <c r="A97">
        <v>96</v>
      </c>
      <c r="B97" t="s">
        <v>353</v>
      </c>
      <c r="C97" t="s">
        <v>209</v>
      </c>
      <c r="D97" t="s">
        <v>309</v>
      </c>
      <c r="E97" s="2">
        <v>2000000</v>
      </c>
      <c r="F97" t="s">
        <v>81</v>
      </c>
      <c r="G97">
        <f t="shared" si="1"/>
        <v>20</v>
      </c>
    </row>
    <row r="98" spans="1:7" x14ac:dyDescent="0.3">
      <c r="A98">
        <v>97</v>
      </c>
      <c r="B98" t="s">
        <v>354</v>
      </c>
      <c r="C98" t="s">
        <v>209</v>
      </c>
      <c r="D98" t="s">
        <v>213</v>
      </c>
      <c r="E98" s="2">
        <v>2000000</v>
      </c>
      <c r="F98" t="s">
        <v>81</v>
      </c>
      <c r="G98">
        <f t="shared" si="1"/>
        <v>20</v>
      </c>
    </row>
    <row r="99" spans="1:7" x14ac:dyDescent="0.3">
      <c r="A99">
        <v>98</v>
      </c>
      <c r="B99" t="s">
        <v>355</v>
      </c>
      <c r="C99" t="s">
        <v>209</v>
      </c>
      <c r="D99" t="s">
        <v>213</v>
      </c>
      <c r="E99" s="2">
        <v>2000000</v>
      </c>
      <c r="F99" t="s">
        <v>81</v>
      </c>
      <c r="G99">
        <f t="shared" si="1"/>
        <v>20</v>
      </c>
    </row>
    <row r="100" spans="1:7" x14ac:dyDescent="0.3">
      <c r="A100">
        <v>99</v>
      </c>
      <c r="B100" t="s">
        <v>356</v>
      </c>
      <c r="C100" t="s">
        <v>209</v>
      </c>
      <c r="D100" t="s">
        <v>215</v>
      </c>
      <c r="E100" s="2">
        <v>2000000</v>
      </c>
      <c r="F100" t="s">
        <v>81</v>
      </c>
      <c r="G100">
        <f t="shared" si="1"/>
        <v>20</v>
      </c>
    </row>
    <row r="101" spans="1:7" x14ac:dyDescent="0.3">
      <c r="A101">
        <v>100</v>
      </c>
      <c r="B101" t="s">
        <v>357</v>
      </c>
      <c r="C101" t="s">
        <v>209</v>
      </c>
      <c r="D101" t="s">
        <v>215</v>
      </c>
      <c r="E101" s="2">
        <v>2000000</v>
      </c>
      <c r="F101" t="s">
        <v>81</v>
      </c>
      <c r="G101">
        <f t="shared" si="1"/>
        <v>20</v>
      </c>
    </row>
    <row r="102" spans="1:7" x14ac:dyDescent="0.3">
      <c r="A102">
        <v>101</v>
      </c>
      <c r="B102" t="s">
        <v>178</v>
      </c>
      <c r="C102" t="s">
        <v>209</v>
      </c>
      <c r="D102" t="s">
        <v>304</v>
      </c>
      <c r="E102" s="2">
        <v>152500000</v>
      </c>
      <c r="F102" t="s">
        <v>101</v>
      </c>
      <c r="G102">
        <f t="shared" si="1"/>
        <v>1525</v>
      </c>
    </row>
    <row r="103" spans="1:7" x14ac:dyDescent="0.3">
      <c r="A103">
        <v>102</v>
      </c>
      <c r="B103" t="s">
        <v>166</v>
      </c>
      <c r="C103" t="s">
        <v>212</v>
      </c>
      <c r="D103" t="s">
        <v>215</v>
      </c>
      <c r="E103" s="2">
        <v>82500000</v>
      </c>
      <c r="F103" t="s">
        <v>101</v>
      </c>
      <c r="G103">
        <f t="shared" si="1"/>
        <v>825</v>
      </c>
    </row>
    <row r="104" spans="1:7" x14ac:dyDescent="0.3">
      <c r="A104">
        <v>103</v>
      </c>
      <c r="B104" t="s">
        <v>143</v>
      </c>
      <c r="C104" t="s">
        <v>212</v>
      </c>
      <c r="D104" t="s">
        <v>215</v>
      </c>
      <c r="E104" s="2">
        <v>80000000</v>
      </c>
      <c r="F104" t="s">
        <v>101</v>
      </c>
      <c r="G104">
        <f t="shared" si="1"/>
        <v>800</v>
      </c>
    </row>
    <row r="105" spans="1:7" x14ac:dyDescent="0.3">
      <c r="A105">
        <v>104</v>
      </c>
      <c r="B105" t="s">
        <v>358</v>
      </c>
      <c r="C105" t="s">
        <v>212</v>
      </c>
      <c r="D105" t="s">
        <v>309</v>
      </c>
      <c r="E105" s="2">
        <v>30000000</v>
      </c>
      <c r="F105" t="s">
        <v>101</v>
      </c>
      <c r="G105">
        <f t="shared" si="1"/>
        <v>300</v>
      </c>
    </row>
    <row r="106" spans="1:7" x14ac:dyDescent="0.3">
      <c r="A106">
        <v>105</v>
      </c>
      <c r="B106" t="s">
        <v>268</v>
      </c>
      <c r="C106" t="s">
        <v>212</v>
      </c>
      <c r="D106" t="s">
        <v>215</v>
      </c>
      <c r="E106" s="2">
        <v>26000000</v>
      </c>
      <c r="F106" t="s">
        <v>101</v>
      </c>
      <c r="G106">
        <f t="shared" si="1"/>
        <v>260</v>
      </c>
    </row>
    <row r="107" spans="1:7" x14ac:dyDescent="0.3">
      <c r="A107">
        <v>106</v>
      </c>
      <c r="B107" t="s">
        <v>359</v>
      </c>
      <c r="C107" t="s">
        <v>209</v>
      </c>
      <c r="D107" t="s">
        <v>215</v>
      </c>
      <c r="E107" s="2">
        <v>17000000</v>
      </c>
      <c r="F107" t="s">
        <v>101</v>
      </c>
      <c r="G107">
        <f t="shared" si="1"/>
        <v>170</v>
      </c>
    </row>
    <row r="108" spans="1:7" x14ac:dyDescent="0.3">
      <c r="A108">
        <v>107</v>
      </c>
      <c r="B108" t="s">
        <v>286</v>
      </c>
      <c r="C108" t="s">
        <v>209</v>
      </c>
      <c r="D108" t="s">
        <v>213</v>
      </c>
      <c r="E108" s="2">
        <v>16000000</v>
      </c>
      <c r="F108" t="s">
        <v>101</v>
      </c>
      <c r="G108">
        <f t="shared" si="1"/>
        <v>160</v>
      </c>
    </row>
    <row r="109" spans="1:7" x14ac:dyDescent="0.3">
      <c r="A109">
        <v>108</v>
      </c>
      <c r="B109" t="s">
        <v>360</v>
      </c>
      <c r="C109" t="s">
        <v>212</v>
      </c>
      <c r="D109" t="s">
        <v>213</v>
      </c>
      <c r="E109" s="2">
        <v>15000000</v>
      </c>
      <c r="F109" t="s">
        <v>101</v>
      </c>
      <c r="G109">
        <f t="shared" si="1"/>
        <v>150</v>
      </c>
    </row>
    <row r="110" spans="1:7" x14ac:dyDescent="0.3">
      <c r="A110">
        <v>109</v>
      </c>
      <c r="B110" t="s">
        <v>188</v>
      </c>
      <c r="C110" t="s">
        <v>209</v>
      </c>
      <c r="D110" t="s">
        <v>213</v>
      </c>
      <c r="E110" s="2">
        <v>13000000</v>
      </c>
      <c r="F110" t="s">
        <v>101</v>
      </c>
      <c r="G110">
        <f t="shared" si="1"/>
        <v>130</v>
      </c>
    </row>
    <row r="111" spans="1:7" x14ac:dyDescent="0.3">
      <c r="A111">
        <v>110</v>
      </c>
      <c r="B111" t="s">
        <v>361</v>
      </c>
      <c r="C111" t="s">
        <v>212</v>
      </c>
      <c r="D111" t="s">
        <v>213</v>
      </c>
      <c r="E111" s="2">
        <v>10000000</v>
      </c>
      <c r="F111" t="s">
        <v>101</v>
      </c>
      <c r="G111">
        <f t="shared" si="1"/>
        <v>100</v>
      </c>
    </row>
    <row r="112" spans="1:7" x14ac:dyDescent="0.3">
      <c r="A112">
        <v>111</v>
      </c>
      <c r="B112" t="s">
        <v>362</v>
      </c>
      <c r="C112" t="s">
        <v>212</v>
      </c>
      <c r="D112" t="s">
        <v>215</v>
      </c>
      <c r="E112" s="2">
        <v>7500000</v>
      </c>
      <c r="F112" t="s">
        <v>101</v>
      </c>
      <c r="G112">
        <f t="shared" si="1"/>
        <v>75</v>
      </c>
    </row>
    <row r="113" spans="1:7" x14ac:dyDescent="0.3">
      <c r="A113">
        <v>112</v>
      </c>
      <c r="B113" t="s">
        <v>79</v>
      </c>
      <c r="C113" t="s">
        <v>209</v>
      </c>
      <c r="D113" t="s">
        <v>213</v>
      </c>
      <c r="E113" s="2">
        <v>6500000</v>
      </c>
      <c r="F113" t="s">
        <v>101</v>
      </c>
      <c r="G113">
        <f t="shared" si="1"/>
        <v>65</v>
      </c>
    </row>
    <row r="114" spans="1:7" x14ac:dyDescent="0.3">
      <c r="A114">
        <v>113</v>
      </c>
      <c r="B114" t="s">
        <v>363</v>
      </c>
      <c r="C114" t="s">
        <v>209</v>
      </c>
      <c r="D114" t="s">
        <v>215</v>
      </c>
      <c r="E114" s="2">
        <v>5000000</v>
      </c>
      <c r="F114" t="s">
        <v>101</v>
      </c>
      <c r="G114">
        <f t="shared" si="1"/>
        <v>50</v>
      </c>
    </row>
    <row r="115" spans="1:7" x14ac:dyDescent="0.3">
      <c r="A115">
        <v>114</v>
      </c>
      <c r="B115" t="s">
        <v>364</v>
      </c>
      <c r="C115" t="s">
        <v>209</v>
      </c>
      <c r="D115" t="s">
        <v>213</v>
      </c>
      <c r="E115" s="2">
        <v>3000000</v>
      </c>
      <c r="F115" t="s">
        <v>101</v>
      </c>
      <c r="G115">
        <f t="shared" si="1"/>
        <v>30</v>
      </c>
    </row>
    <row r="116" spans="1:7" x14ac:dyDescent="0.3">
      <c r="A116">
        <v>115</v>
      </c>
      <c r="B116" t="s">
        <v>113</v>
      </c>
      <c r="C116" t="s">
        <v>209</v>
      </c>
      <c r="D116" t="s">
        <v>215</v>
      </c>
      <c r="E116" s="2">
        <v>3000000</v>
      </c>
      <c r="F116" t="s">
        <v>101</v>
      </c>
      <c r="G116">
        <f t="shared" si="1"/>
        <v>30</v>
      </c>
    </row>
    <row r="117" spans="1:7" x14ac:dyDescent="0.3">
      <c r="A117">
        <v>116</v>
      </c>
      <c r="B117" t="s">
        <v>300</v>
      </c>
      <c r="C117" t="s">
        <v>209</v>
      </c>
      <c r="D117" t="s">
        <v>309</v>
      </c>
      <c r="E117" s="2">
        <v>2000000</v>
      </c>
      <c r="F117" t="s">
        <v>101</v>
      </c>
      <c r="G117">
        <f t="shared" si="1"/>
        <v>20</v>
      </c>
    </row>
    <row r="118" spans="1:7" x14ac:dyDescent="0.3">
      <c r="A118">
        <v>117</v>
      </c>
      <c r="B118" t="s">
        <v>229</v>
      </c>
      <c r="C118" t="s">
        <v>209</v>
      </c>
      <c r="D118" t="s">
        <v>215</v>
      </c>
      <c r="E118" s="2">
        <v>2000000</v>
      </c>
      <c r="F118" t="s">
        <v>101</v>
      </c>
      <c r="G118">
        <f t="shared" si="1"/>
        <v>20</v>
      </c>
    </row>
    <row r="119" spans="1:7" x14ac:dyDescent="0.3">
      <c r="A119">
        <v>118</v>
      </c>
      <c r="B119" t="s">
        <v>99</v>
      </c>
      <c r="C119" t="s">
        <v>209</v>
      </c>
      <c r="D119" t="s">
        <v>304</v>
      </c>
      <c r="E119" s="2">
        <v>2000000</v>
      </c>
      <c r="F119" t="s">
        <v>101</v>
      </c>
      <c r="G119">
        <f t="shared" si="1"/>
        <v>20</v>
      </c>
    </row>
    <row r="120" spans="1:7" x14ac:dyDescent="0.3">
      <c r="A120">
        <v>119</v>
      </c>
      <c r="B120" t="s">
        <v>365</v>
      </c>
      <c r="C120" t="s">
        <v>209</v>
      </c>
      <c r="D120" t="s">
        <v>309</v>
      </c>
      <c r="E120" s="2">
        <v>2000000</v>
      </c>
      <c r="F120" t="s">
        <v>101</v>
      </c>
      <c r="G120">
        <f t="shared" si="1"/>
        <v>20</v>
      </c>
    </row>
    <row r="121" spans="1:7" x14ac:dyDescent="0.3">
      <c r="A121">
        <v>120</v>
      </c>
      <c r="B121" t="s">
        <v>366</v>
      </c>
      <c r="C121" t="s">
        <v>209</v>
      </c>
      <c r="D121" t="s">
        <v>215</v>
      </c>
      <c r="E121" s="2">
        <v>2000000</v>
      </c>
      <c r="F121" t="s">
        <v>101</v>
      </c>
      <c r="G121">
        <f t="shared" si="1"/>
        <v>20</v>
      </c>
    </row>
    <row r="122" spans="1:7" x14ac:dyDescent="0.3">
      <c r="A122">
        <v>121</v>
      </c>
      <c r="B122" t="s">
        <v>55</v>
      </c>
      <c r="C122" t="s">
        <v>209</v>
      </c>
      <c r="D122" t="s">
        <v>215</v>
      </c>
      <c r="E122" s="2">
        <v>2000000</v>
      </c>
      <c r="F122" t="s">
        <v>101</v>
      </c>
      <c r="G122">
        <f t="shared" si="1"/>
        <v>20</v>
      </c>
    </row>
    <row r="123" spans="1:7" x14ac:dyDescent="0.3">
      <c r="A123">
        <v>122</v>
      </c>
      <c r="B123" t="s">
        <v>163</v>
      </c>
      <c r="C123" t="s">
        <v>212</v>
      </c>
      <c r="D123" t="s">
        <v>215</v>
      </c>
      <c r="E123" s="2">
        <v>115000000</v>
      </c>
      <c r="F123" t="s">
        <v>120</v>
      </c>
      <c r="G123">
        <f t="shared" si="1"/>
        <v>1150</v>
      </c>
    </row>
    <row r="124" spans="1:7" x14ac:dyDescent="0.3">
      <c r="A124">
        <v>123</v>
      </c>
      <c r="B124" t="s">
        <v>46</v>
      </c>
      <c r="C124" t="s">
        <v>212</v>
      </c>
      <c r="D124" t="s">
        <v>213</v>
      </c>
      <c r="E124" s="2">
        <v>92500000</v>
      </c>
      <c r="F124" t="s">
        <v>120</v>
      </c>
      <c r="G124">
        <f t="shared" si="1"/>
        <v>925</v>
      </c>
    </row>
    <row r="125" spans="1:7" x14ac:dyDescent="0.3">
      <c r="A125">
        <v>124</v>
      </c>
      <c r="B125" t="s">
        <v>225</v>
      </c>
      <c r="C125" t="s">
        <v>209</v>
      </c>
      <c r="D125" t="s">
        <v>215</v>
      </c>
      <c r="E125" s="2">
        <v>90000000</v>
      </c>
      <c r="F125" t="s">
        <v>120</v>
      </c>
      <c r="G125">
        <f t="shared" si="1"/>
        <v>900</v>
      </c>
    </row>
    <row r="126" spans="1:7" x14ac:dyDescent="0.3">
      <c r="A126">
        <v>125</v>
      </c>
      <c r="B126" t="s">
        <v>367</v>
      </c>
      <c r="C126" t="s">
        <v>209</v>
      </c>
      <c r="D126" t="s">
        <v>309</v>
      </c>
      <c r="E126" s="2">
        <v>82500000</v>
      </c>
      <c r="F126" t="s">
        <v>120</v>
      </c>
      <c r="G126">
        <f t="shared" si="1"/>
        <v>825</v>
      </c>
    </row>
    <row r="127" spans="1:7" x14ac:dyDescent="0.3">
      <c r="A127">
        <v>126</v>
      </c>
      <c r="B127" t="s">
        <v>368</v>
      </c>
      <c r="C127" t="s">
        <v>212</v>
      </c>
      <c r="D127" t="s">
        <v>304</v>
      </c>
      <c r="E127" s="2">
        <v>67500000</v>
      </c>
      <c r="F127" t="s">
        <v>120</v>
      </c>
      <c r="G127">
        <f t="shared" si="1"/>
        <v>675</v>
      </c>
    </row>
    <row r="128" spans="1:7" x14ac:dyDescent="0.3">
      <c r="A128">
        <v>127</v>
      </c>
      <c r="B128" t="s">
        <v>260</v>
      </c>
      <c r="C128" t="s">
        <v>212</v>
      </c>
      <c r="D128" t="s">
        <v>215</v>
      </c>
      <c r="E128" s="2">
        <v>60000000</v>
      </c>
      <c r="F128" t="s">
        <v>120</v>
      </c>
      <c r="G128">
        <f t="shared" si="1"/>
        <v>600</v>
      </c>
    </row>
    <row r="129" spans="1:7" x14ac:dyDescent="0.3">
      <c r="A129">
        <v>128</v>
      </c>
      <c r="B129" t="s">
        <v>183</v>
      </c>
      <c r="C129" t="s">
        <v>209</v>
      </c>
      <c r="D129" t="s">
        <v>213</v>
      </c>
      <c r="E129" s="2">
        <v>52500000</v>
      </c>
      <c r="F129" t="s">
        <v>120</v>
      </c>
      <c r="G129">
        <f t="shared" si="1"/>
        <v>525</v>
      </c>
    </row>
    <row r="130" spans="1:7" x14ac:dyDescent="0.3">
      <c r="A130">
        <v>129</v>
      </c>
      <c r="B130" t="s">
        <v>133</v>
      </c>
      <c r="C130" t="s">
        <v>209</v>
      </c>
      <c r="D130" t="s">
        <v>215</v>
      </c>
      <c r="E130" s="2">
        <v>38000000</v>
      </c>
      <c r="F130" t="s">
        <v>120</v>
      </c>
      <c r="G130">
        <f t="shared" si="1"/>
        <v>380</v>
      </c>
    </row>
    <row r="131" spans="1:7" x14ac:dyDescent="0.3">
      <c r="A131">
        <v>130</v>
      </c>
      <c r="B131" t="s">
        <v>116</v>
      </c>
      <c r="C131" t="s">
        <v>209</v>
      </c>
      <c r="D131" t="s">
        <v>215</v>
      </c>
      <c r="E131" s="2">
        <v>20000000</v>
      </c>
      <c r="F131" t="s">
        <v>120</v>
      </c>
      <c r="G131">
        <f t="shared" ref="G131:G194" si="2">E131/100000</f>
        <v>200</v>
      </c>
    </row>
    <row r="132" spans="1:7" x14ac:dyDescent="0.3">
      <c r="A132">
        <v>131</v>
      </c>
      <c r="B132" t="s">
        <v>72</v>
      </c>
      <c r="C132" t="s">
        <v>209</v>
      </c>
      <c r="D132" t="s">
        <v>213</v>
      </c>
      <c r="E132" s="2">
        <v>20000000</v>
      </c>
      <c r="F132" t="s">
        <v>120</v>
      </c>
      <c r="G132">
        <f t="shared" si="2"/>
        <v>200</v>
      </c>
    </row>
    <row r="133" spans="1:7" x14ac:dyDescent="0.3">
      <c r="A133">
        <v>132</v>
      </c>
      <c r="B133" t="s">
        <v>12</v>
      </c>
      <c r="C133" t="s">
        <v>212</v>
      </c>
      <c r="D133" t="s">
        <v>213</v>
      </c>
      <c r="E133" s="2">
        <v>7500000</v>
      </c>
      <c r="F133" t="s">
        <v>120</v>
      </c>
      <c r="G133">
        <f t="shared" si="2"/>
        <v>75</v>
      </c>
    </row>
    <row r="134" spans="1:7" x14ac:dyDescent="0.3">
      <c r="A134">
        <v>133</v>
      </c>
      <c r="B134" t="s">
        <v>369</v>
      </c>
      <c r="C134" t="s">
        <v>209</v>
      </c>
      <c r="D134" t="s">
        <v>304</v>
      </c>
      <c r="E134" s="2">
        <v>6000000</v>
      </c>
      <c r="F134" t="s">
        <v>120</v>
      </c>
      <c r="G134">
        <f t="shared" si="2"/>
        <v>60</v>
      </c>
    </row>
    <row r="135" spans="1:7" x14ac:dyDescent="0.3">
      <c r="A135">
        <v>134</v>
      </c>
      <c r="B135" t="s">
        <v>370</v>
      </c>
      <c r="C135" t="s">
        <v>209</v>
      </c>
      <c r="D135" t="s">
        <v>215</v>
      </c>
      <c r="E135" s="2">
        <v>5500000</v>
      </c>
      <c r="F135" t="s">
        <v>120</v>
      </c>
      <c r="G135">
        <f t="shared" si="2"/>
        <v>55</v>
      </c>
    </row>
    <row r="136" spans="1:7" x14ac:dyDescent="0.3">
      <c r="A136">
        <v>135</v>
      </c>
      <c r="B136" t="s">
        <v>371</v>
      </c>
      <c r="C136" t="s">
        <v>209</v>
      </c>
      <c r="D136" t="s">
        <v>213</v>
      </c>
      <c r="E136" s="2">
        <v>5000000</v>
      </c>
      <c r="F136" t="s">
        <v>120</v>
      </c>
      <c r="G136">
        <f t="shared" si="2"/>
        <v>50</v>
      </c>
    </row>
    <row r="137" spans="1:7" x14ac:dyDescent="0.3">
      <c r="A137">
        <v>136</v>
      </c>
      <c r="B137" t="s">
        <v>372</v>
      </c>
      <c r="C137" t="s">
        <v>212</v>
      </c>
      <c r="D137" t="s">
        <v>309</v>
      </c>
      <c r="E137" s="2">
        <v>5000000</v>
      </c>
      <c r="F137" t="s">
        <v>120</v>
      </c>
      <c r="G137">
        <f t="shared" si="2"/>
        <v>50</v>
      </c>
    </row>
    <row r="138" spans="1:7" x14ac:dyDescent="0.3">
      <c r="A138">
        <v>137</v>
      </c>
      <c r="B138" t="s">
        <v>373</v>
      </c>
      <c r="C138" t="s">
        <v>212</v>
      </c>
      <c r="D138" t="s">
        <v>215</v>
      </c>
      <c r="E138" s="2">
        <v>4000000</v>
      </c>
      <c r="F138" t="s">
        <v>120</v>
      </c>
      <c r="G138">
        <f t="shared" si="2"/>
        <v>40</v>
      </c>
    </row>
    <row r="139" spans="1:7" x14ac:dyDescent="0.3">
      <c r="A139">
        <v>138</v>
      </c>
      <c r="B139" t="s">
        <v>374</v>
      </c>
      <c r="C139" t="s">
        <v>209</v>
      </c>
      <c r="D139" t="s">
        <v>213</v>
      </c>
      <c r="E139" s="2">
        <v>2500000</v>
      </c>
      <c r="F139" t="s">
        <v>120</v>
      </c>
      <c r="G139">
        <f t="shared" si="2"/>
        <v>25</v>
      </c>
    </row>
    <row r="140" spans="1:7" x14ac:dyDescent="0.3">
      <c r="A140">
        <v>139</v>
      </c>
      <c r="B140" t="s">
        <v>161</v>
      </c>
      <c r="C140" t="s">
        <v>209</v>
      </c>
      <c r="D140" t="s">
        <v>304</v>
      </c>
      <c r="E140" s="2">
        <v>2000000</v>
      </c>
      <c r="F140" t="s">
        <v>120</v>
      </c>
      <c r="G140">
        <f t="shared" si="2"/>
        <v>20</v>
      </c>
    </row>
    <row r="141" spans="1:7" x14ac:dyDescent="0.3">
      <c r="A141">
        <v>140</v>
      </c>
      <c r="B141" t="s">
        <v>271</v>
      </c>
      <c r="C141" t="s">
        <v>209</v>
      </c>
      <c r="D141" t="s">
        <v>215</v>
      </c>
      <c r="E141" s="2">
        <v>2000000</v>
      </c>
      <c r="F141" t="s">
        <v>120</v>
      </c>
      <c r="G141">
        <f t="shared" si="2"/>
        <v>20</v>
      </c>
    </row>
    <row r="142" spans="1:7" x14ac:dyDescent="0.3">
      <c r="A142">
        <v>141</v>
      </c>
      <c r="B142" t="s">
        <v>193</v>
      </c>
      <c r="C142" t="s">
        <v>209</v>
      </c>
      <c r="D142" t="s">
        <v>215</v>
      </c>
      <c r="E142" s="2">
        <v>2000000</v>
      </c>
      <c r="F142" t="s">
        <v>120</v>
      </c>
      <c r="G142">
        <f t="shared" si="2"/>
        <v>20</v>
      </c>
    </row>
    <row r="143" spans="1:7" x14ac:dyDescent="0.3">
      <c r="A143">
        <v>142</v>
      </c>
      <c r="B143" t="s">
        <v>375</v>
      </c>
      <c r="C143" t="s">
        <v>209</v>
      </c>
      <c r="D143" t="s">
        <v>215</v>
      </c>
      <c r="E143" s="2">
        <v>2000000</v>
      </c>
      <c r="F143" t="s">
        <v>120</v>
      </c>
      <c r="G143">
        <f t="shared" si="2"/>
        <v>20</v>
      </c>
    </row>
    <row r="144" spans="1:7" x14ac:dyDescent="0.3">
      <c r="A144">
        <v>143</v>
      </c>
      <c r="B144" t="s">
        <v>376</v>
      </c>
      <c r="C144" t="s">
        <v>209</v>
      </c>
      <c r="D144" t="s">
        <v>213</v>
      </c>
      <c r="E144" s="2">
        <v>2000000</v>
      </c>
      <c r="F144" t="s">
        <v>120</v>
      </c>
      <c r="G144">
        <f t="shared" si="2"/>
        <v>20</v>
      </c>
    </row>
    <row r="145" spans="1:7" x14ac:dyDescent="0.3">
      <c r="A145">
        <v>144</v>
      </c>
      <c r="B145" t="s">
        <v>377</v>
      </c>
      <c r="C145" t="s">
        <v>209</v>
      </c>
      <c r="D145" t="s">
        <v>215</v>
      </c>
      <c r="E145" s="2">
        <v>2000000</v>
      </c>
      <c r="F145" t="s">
        <v>120</v>
      </c>
      <c r="G145">
        <f t="shared" si="2"/>
        <v>20</v>
      </c>
    </row>
    <row r="146" spans="1:7" x14ac:dyDescent="0.3">
      <c r="A146">
        <v>145</v>
      </c>
      <c r="B146" t="s">
        <v>47</v>
      </c>
      <c r="C146" t="s">
        <v>209</v>
      </c>
      <c r="D146" t="s">
        <v>213</v>
      </c>
      <c r="E146" s="2">
        <v>100000000</v>
      </c>
      <c r="F146" t="s">
        <v>144</v>
      </c>
      <c r="G146">
        <f t="shared" si="2"/>
        <v>1000</v>
      </c>
    </row>
    <row r="147" spans="1:7" x14ac:dyDescent="0.3">
      <c r="A147">
        <v>146</v>
      </c>
      <c r="B147" t="s">
        <v>378</v>
      </c>
      <c r="C147" t="s">
        <v>212</v>
      </c>
      <c r="D147" t="s">
        <v>309</v>
      </c>
      <c r="E147" s="2">
        <v>85000000</v>
      </c>
      <c r="F147" t="s">
        <v>144</v>
      </c>
      <c r="G147">
        <f t="shared" si="2"/>
        <v>850</v>
      </c>
    </row>
    <row r="148" spans="1:7" x14ac:dyDescent="0.3">
      <c r="A148">
        <v>147</v>
      </c>
      <c r="B148" t="s">
        <v>100</v>
      </c>
      <c r="C148" t="s">
        <v>212</v>
      </c>
      <c r="D148" t="s">
        <v>213</v>
      </c>
      <c r="E148" s="2">
        <v>80000000</v>
      </c>
      <c r="F148" t="s">
        <v>144</v>
      </c>
      <c r="G148">
        <f t="shared" si="2"/>
        <v>800</v>
      </c>
    </row>
    <row r="149" spans="1:7" x14ac:dyDescent="0.3">
      <c r="A149">
        <v>148</v>
      </c>
      <c r="B149" t="s">
        <v>169</v>
      </c>
      <c r="C149" t="s">
        <v>209</v>
      </c>
      <c r="D149" t="s">
        <v>309</v>
      </c>
      <c r="E149" s="2">
        <v>77500000</v>
      </c>
      <c r="F149" t="s">
        <v>144</v>
      </c>
      <c r="G149">
        <f t="shared" si="2"/>
        <v>775</v>
      </c>
    </row>
    <row r="150" spans="1:7" x14ac:dyDescent="0.3">
      <c r="A150">
        <v>149</v>
      </c>
      <c r="B150" t="s">
        <v>121</v>
      </c>
      <c r="C150" t="s">
        <v>209</v>
      </c>
      <c r="D150" t="s">
        <v>213</v>
      </c>
      <c r="E150" s="2">
        <v>65000000</v>
      </c>
      <c r="F150" t="s">
        <v>144</v>
      </c>
      <c r="G150">
        <f t="shared" si="2"/>
        <v>650</v>
      </c>
    </row>
    <row r="151" spans="1:7" x14ac:dyDescent="0.3">
      <c r="A151">
        <v>150</v>
      </c>
      <c r="B151" t="s">
        <v>379</v>
      </c>
      <c r="C151" t="s">
        <v>209</v>
      </c>
      <c r="D151" t="s">
        <v>215</v>
      </c>
      <c r="E151" s="2">
        <v>50000000</v>
      </c>
      <c r="F151" t="s">
        <v>144</v>
      </c>
      <c r="G151">
        <f t="shared" si="2"/>
        <v>500</v>
      </c>
    </row>
    <row r="152" spans="1:7" x14ac:dyDescent="0.3">
      <c r="A152">
        <v>151</v>
      </c>
      <c r="B152" t="s">
        <v>380</v>
      </c>
      <c r="C152" t="s">
        <v>209</v>
      </c>
      <c r="D152" t="s">
        <v>215</v>
      </c>
      <c r="E152" s="2">
        <v>38000000</v>
      </c>
      <c r="F152" t="s">
        <v>144</v>
      </c>
      <c r="G152">
        <f t="shared" si="2"/>
        <v>380</v>
      </c>
    </row>
    <row r="153" spans="1:7" x14ac:dyDescent="0.3">
      <c r="A153">
        <v>152</v>
      </c>
      <c r="B153" t="s">
        <v>381</v>
      </c>
      <c r="C153" t="s">
        <v>209</v>
      </c>
      <c r="D153" t="s">
        <v>213</v>
      </c>
      <c r="E153" s="2">
        <v>26000000</v>
      </c>
      <c r="F153" t="s">
        <v>144</v>
      </c>
      <c r="G153">
        <f t="shared" si="2"/>
        <v>260</v>
      </c>
    </row>
    <row r="154" spans="1:7" x14ac:dyDescent="0.3">
      <c r="A154">
        <v>153</v>
      </c>
      <c r="B154" t="s">
        <v>382</v>
      </c>
      <c r="C154" t="s">
        <v>212</v>
      </c>
      <c r="D154" t="s">
        <v>213</v>
      </c>
      <c r="E154" s="2">
        <v>20000000</v>
      </c>
      <c r="F154" t="s">
        <v>144</v>
      </c>
      <c r="G154">
        <f t="shared" si="2"/>
        <v>200</v>
      </c>
    </row>
    <row r="155" spans="1:7" x14ac:dyDescent="0.3">
      <c r="A155">
        <v>154</v>
      </c>
      <c r="B155" t="s">
        <v>383</v>
      </c>
      <c r="C155" t="s">
        <v>212</v>
      </c>
      <c r="D155" t="s">
        <v>215</v>
      </c>
      <c r="E155" s="2">
        <v>15000000</v>
      </c>
      <c r="F155" t="s">
        <v>144</v>
      </c>
      <c r="G155">
        <f t="shared" si="2"/>
        <v>150</v>
      </c>
    </row>
    <row r="156" spans="1:7" x14ac:dyDescent="0.3">
      <c r="A156">
        <v>155</v>
      </c>
      <c r="B156" t="s">
        <v>37</v>
      </c>
      <c r="C156" t="s">
        <v>209</v>
      </c>
      <c r="D156" t="s">
        <v>309</v>
      </c>
      <c r="E156" s="2">
        <v>14000000</v>
      </c>
      <c r="F156" t="s">
        <v>144</v>
      </c>
      <c r="G156">
        <f t="shared" si="2"/>
        <v>140</v>
      </c>
    </row>
    <row r="157" spans="1:7" x14ac:dyDescent="0.3">
      <c r="A157">
        <v>156</v>
      </c>
      <c r="B157" t="s">
        <v>384</v>
      </c>
      <c r="C157" t="s">
        <v>212</v>
      </c>
      <c r="D157" t="s">
        <v>309</v>
      </c>
      <c r="E157" s="2">
        <v>10000000</v>
      </c>
      <c r="F157" t="s">
        <v>144</v>
      </c>
      <c r="G157">
        <f t="shared" si="2"/>
        <v>100</v>
      </c>
    </row>
    <row r="158" spans="1:7" x14ac:dyDescent="0.3">
      <c r="A158">
        <v>157</v>
      </c>
      <c r="B158" t="s">
        <v>214</v>
      </c>
      <c r="C158" t="s">
        <v>212</v>
      </c>
      <c r="D158" t="s">
        <v>215</v>
      </c>
      <c r="E158" s="2">
        <v>7500000</v>
      </c>
      <c r="F158" t="s">
        <v>144</v>
      </c>
      <c r="G158">
        <f t="shared" si="2"/>
        <v>75</v>
      </c>
    </row>
    <row r="159" spans="1:7" x14ac:dyDescent="0.3">
      <c r="A159">
        <v>158</v>
      </c>
      <c r="B159" t="s">
        <v>385</v>
      </c>
      <c r="C159" t="s">
        <v>212</v>
      </c>
      <c r="D159" t="s">
        <v>213</v>
      </c>
      <c r="E159" s="2">
        <v>7500000</v>
      </c>
      <c r="F159" t="s">
        <v>144</v>
      </c>
      <c r="G159">
        <f t="shared" si="2"/>
        <v>75</v>
      </c>
    </row>
    <row r="160" spans="1:7" x14ac:dyDescent="0.3">
      <c r="A160">
        <v>159</v>
      </c>
      <c r="B160" t="s">
        <v>386</v>
      </c>
      <c r="C160" t="s">
        <v>209</v>
      </c>
      <c r="D160" t="s">
        <v>213</v>
      </c>
      <c r="E160" s="2">
        <v>3000000</v>
      </c>
      <c r="F160" t="s">
        <v>144</v>
      </c>
      <c r="G160">
        <f t="shared" si="2"/>
        <v>30</v>
      </c>
    </row>
    <row r="161" spans="1:7" x14ac:dyDescent="0.3">
      <c r="A161">
        <v>160</v>
      </c>
      <c r="B161" t="s">
        <v>137</v>
      </c>
      <c r="C161" t="s">
        <v>209</v>
      </c>
      <c r="D161" t="s">
        <v>213</v>
      </c>
      <c r="E161" s="2">
        <v>2000000</v>
      </c>
      <c r="F161" t="s">
        <v>144</v>
      </c>
      <c r="G161">
        <f t="shared" si="2"/>
        <v>20</v>
      </c>
    </row>
    <row r="162" spans="1:7" x14ac:dyDescent="0.3">
      <c r="A162">
        <v>161</v>
      </c>
      <c r="B162" t="s">
        <v>387</v>
      </c>
      <c r="C162" t="s">
        <v>209</v>
      </c>
      <c r="D162" t="s">
        <v>304</v>
      </c>
      <c r="E162" s="2">
        <v>2000000</v>
      </c>
      <c r="F162" t="s">
        <v>144</v>
      </c>
      <c r="G162">
        <f t="shared" si="2"/>
        <v>20</v>
      </c>
    </row>
    <row r="163" spans="1:7" x14ac:dyDescent="0.3">
      <c r="A163">
        <v>162</v>
      </c>
      <c r="B163" t="s">
        <v>388</v>
      </c>
      <c r="C163" t="s">
        <v>209</v>
      </c>
      <c r="D163" t="s">
        <v>213</v>
      </c>
      <c r="E163" s="2">
        <v>2000000</v>
      </c>
      <c r="F163" t="s">
        <v>144</v>
      </c>
      <c r="G163">
        <f t="shared" si="2"/>
        <v>20</v>
      </c>
    </row>
    <row r="164" spans="1:7" x14ac:dyDescent="0.3">
      <c r="A164">
        <v>163</v>
      </c>
      <c r="B164" t="s">
        <v>389</v>
      </c>
      <c r="C164" t="s">
        <v>209</v>
      </c>
      <c r="D164" t="s">
        <v>213</v>
      </c>
      <c r="E164" s="2">
        <v>2000000</v>
      </c>
      <c r="F164" t="s">
        <v>144</v>
      </c>
      <c r="G164">
        <f t="shared" si="2"/>
        <v>20</v>
      </c>
    </row>
    <row r="165" spans="1:7" x14ac:dyDescent="0.3">
      <c r="A165">
        <v>164</v>
      </c>
      <c r="B165" t="s">
        <v>390</v>
      </c>
      <c r="C165" t="s">
        <v>209</v>
      </c>
      <c r="D165" t="s">
        <v>215</v>
      </c>
      <c r="E165" s="2">
        <v>2000000</v>
      </c>
      <c r="F165" t="s">
        <v>144</v>
      </c>
      <c r="G165">
        <f t="shared" si="2"/>
        <v>20</v>
      </c>
    </row>
    <row r="166" spans="1:7" x14ac:dyDescent="0.3">
      <c r="A166">
        <v>165</v>
      </c>
      <c r="B166" t="s">
        <v>391</v>
      </c>
      <c r="C166" t="s">
        <v>209</v>
      </c>
      <c r="D166" t="s">
        <v>215</v>
      </c>
      <c r="E166" s="2">
        <v>2000000</v>
      </c>
      <c r="F166" t="s">
        <v>144</v>
      </c>
      <c r="G166">
        <f t="shared" si="2"/>
        <v>20</v>
      </c>
    </row>
    <row r="167" spans="1:7" x14ac:dyDescent="0.3">
      <c r="A167">
        <v>166</v>
      </c>
      <c r="B167" t="s">
        <v>146</v>
      </c>
      <c r="C167" t="s">
        <v>212</v>
      </c>
      <c r="D167" t="s">
        <v>215</v>
      </c>
      <c r="E167" s="2">
        <v>107500000</v>
      </c>
      <c r="F167" t="s">
        <v>287</v>
      </c>
      <c r="G167">
        <f t="shared" si="2"/>
        <v>1075</v>
      </c>
    </row>
    <row r="168" spans="1:7" x14ac:dyDescent="0.3">
      <c r="A168">
        <v>167</v>
      </c>
      <c r="B168" t="s">
        <v>181</v>
      </c>
      <c r="C168" t="s">
        <v>209</v>
      </c>
      <c r="D168" t="s">
        <v>215</v>
      </c>
      <c r="E168" s="2">
        <v>107500000</v>
      </c>
      <c r="F168" t="s">
        <v>287</v>
      </c>
      <c r="G168">
        <f t="shared" si="2"/>
        <v>1075</v>
      </c>
    </row>
    <row r="169" spans="1:7" x14ac:dyDescent="0.3">
      <c r="A169">
        <v>168</v>
      </c>
      <c r="B169" t="s">
        <v>158</v>
      </c>
      <c r="C169" t="s">
        <v>212</v>
      </c>
      <c r="D169" t="s">
        <v>213</v>
      </c>
      <c r="E169" s="2">
        <v>77500000</v>
      </c>
      <c r="F169" t="s">
        <v>287</v>
      </c>
      <c r="G169">
        <f t="shared" si="2"/>
        <v>775</v>
      </c>
    </row>
    <row r="170" spans="1:7" x14ac:dyDescent="0.3">
      <c r="A170">
        <v>169</v>
      </c>
      <c r="B170" t="s">
        <v>32</v>
      </c>
      <c r="C170" t="s">
        <v>212</v>
      </c>
      <c r="D170" t="s">
        <v>309</v>
      </c>
      <c r="E170" s="2">
        <v>70000000</v>
      </c>
      <c r="F170" t="s">
        <v>287</v>
      </c>
      <c r="G170">
        <f t="shared" si="2"/>
        <v>700</v>
      </c>
    </row>
    <row r="171" spans="1:7" x14ac:dyDescent="0.3">
      <c r="A171">
        <v>170</v>
      </c>
      <c r="B171" t="s">
        <v>392</v>
      </c>
      <c r="C171" t="s">
        <v>209</v>
      </c>
      <c r="D171" t="s">
        <v>304</v>
      </c>
      <c r="E171" s="2">
        <v>55000000</v>
      </c>
      <c r="F171" t="s">
        <v>287</v>
      </c>
      <c r="G171">
        <f t="shared" si="2"/>
        <v>550</v>
      </c>
    </row>
    <row r="172" spans="1:7" x14ac:dyDescent="0.3">
      <c r="A172">
        <v>171</v>
      </c>
      <c r="B172" t="s">
        <v>62</v>
      </c>
      <c r="C172" t="s">
        <v>209</v>
      </c>
      <c r="D172" t="s">
        <v>304</v>
      </c>
      <c r="E172" s="2">
        <v>34000000</v>
      </c>
      <c r="F172" t="s">
        <v>287</v>
      </c>
      <c r="G172">
        <f t="shared" si="2"/>
        <v>340</v>
      </c>
    </row>
    <row r="173" spans="1:7" x14ac:dyDescent="0.3">
      <c r="A173">
        <v>172</v>
      </c>
      <c r="B173" t="s">
        <v>87</v>
      </c>
      <c r="C173" t="s">
        <v>209</v>
      </c>
      <c r="D173" t="s">
        <v>215</v>
      </c>
      <c r="E173" s="2">
        <v>24000000</v>
      </c>
      <c r="F173" t="s">
        <v>287</v>
      </c>
      <c r="G173">
        <f t="shared" si="2"/>
        <v>240</v>
      </c>
    </row>
    <row r="174" spans="1:7" x14ac:dyDescent="0.3">
      <c r="A174">
        <v>173</v>
      </c>
      <c r="B174" t="s">
        <v>234</v>
      </c>
      <c r="C174" t="s">
        <v>212</v>
      </c>
      <c r="D174" t="s">
        <v>215</v>
      </c>
      <c r="E174" s="2">
        <v>20000000</v>
      </c>
      <c r="F174" t="s">
        <v>287</v>
      </c>
      <c r="G174">
        <f t="shared" si="2"/>
        <v>200</v>
      </c>
    </row>
    <row r="175" spans="1:7" x14ac:dyDescent="0.3">
      <c r="A175">
        <v>174</v>
      </c>
      <c r="B175" t="s">
        <v>49</v>
      </c>
      <c r="C175" t="s">
        <v>212</v>
      </c>
      <c r="D175" t="s">
        <v>215</v>
      </c>
      <c r="E175" s="2">
        <v>10000000</v>
      </c>
      <c r="F175" t="s">
        <v>287</v>
      </c>
      <c r="G175">
        <f t="shared" si="2"/>
        <v>100</v>
      </c>
    </row>
    <row r="176" spans="1:7" x14ac:dyDescent="0.3">
      <c r="A176">
        <v>175</v>
      </c>
      <c r="B176" t="s">
        <v>53</v>
      </c>
      <c r="C176" t="s">
        <v>209</v>
      </c>
      <c r="D176" t="s">
        <v>215</v>
      </c>
      <c r="E176" s="2">
        <v>9500000</v>
      </c>
      <c r="F176" t="s">
        <v>287</v>
      </c>
      <c r="G176">
        <f t="shared" si="2"/>
        <v>95</v>
      </c>
    </row>
    <row r="177" spans="1:7" x14ac:dyDescent="0.3">
      <c r="A177">
        <v>176</v>
      </c>
      <c r="B177" t="s">
        <v>393</v>
      </c>
      <c r="C177" t="s">
        <v>212</v>
      </c>
      <c r="D177" t="s">
        <v>309</v>
      </c>
      <c r="E177" s="2">
        <v>8000000</v>
      </c>
      <c r="F177" t="s">
        <v>287</v>
      </c>
      <c r="G177">
        <f t="shared" si="2"/>
        <v>80</v>
      </c>
    </row>
    <row r="178" spans="1:7" x14ac:dyDescent="0.3">
      <c r="A178">
        <v>177</v>
      </c>
      <c r="B178" t="s">
        <v>394</v>
      </c>
      <c r="C178" t="s">
        <v>212</v>
      </c>
      <c r="D178" t="s">
        <v>213</v>
      </c>
      <c r="E178" s="2">
        <v>7500000</v>
      </c>
      <c r="F178" t="s">
        <v>287</v>
      </c>
      <c r="G178">
        <f t="shared" si="2"/>
        <v>75</v>
      </c>
    </row>
    <row r="179" spans="1:7" x14ac:dyDescent="0.3">
      <c r="A179">
        <v>178</v>
      </c>
      <c r="B179" t="s">
        <v>395</v>
      </c>
      <c r="C179" t="s">
        <v>209</v>
      </c>
      <c r="D179" t="s">
        <v>213</v>
      </c>
      <c r="E179" s="2">
        <v>7500000</v>
      </c>
      <c r="F179" t="s">
        <v>287</v>
      </c>
      <c r="G179">
        <f t="shared" si="2"/>
        <v>75</v>
      </c>
    </row>
    <row r="180" spans="1:7" x14ac:dyDescent="0.3">
      <c r="A180">
        <v>179</v>
      </c>
      <c r="B180" t="s">
        <v>111</v>
      </c>
      <c r="C180" t="s">
        <v>209</v>
      </c>
      <c r="D180" t="s">
        <v>213</v>
      </c>
      <c r="E180" s="2">
        <v>5000000</v>
      </c>
      <c r="F180" t="s">
        <v>287</v>
      </c>
      <c r="G180">
        <f t="shared" si="2"/>
        <v>50</v>
      </c>
    </row>
    <row r="181" spans="1:7" x14ac:dyDescent="0.3">
      <c r="A181">
        <v>180</v>
      </c>
      <c r="B181" t="s">
        <v>396</v>
      </c>
      <c r="C181" t="s">
        <v>209</v>
      </c>
      <c r="D181" t="s">
        <v>215</v>
      </c>
      <c r="E181" s="2">
        <v>3000000</v>
      </c>
      <c r="F181" t="s">
        <v>287</v>
      </c>
      <c r="G181">
        <f t="shared" si="2"/>
        <v>30</v>
      </c>
    </row>
    <row r="182" spans="1:7" x14ac:dyDescent="0.3">
      <c r="A182">
        <v>181</v>
      </c>
      <c r="B182" t="s">
        <v>397</v>
      </c>
      <c r="C182" t="s">
        <v>209</v>
      </c>
      <c r="D182" t="s">
        <v>213</v>
      </c>
      <c r="E182" s="2">
        <v>2500000</v>
      </c>
      <c r="F182" t="s">
        <v>287</v>
      </c>
      <c r="G182">
        <f t="shared" si="2"/>
        <v>25</v>
      </c>
    </row>
    <row r="183" spans="1:7" x14ac:dyDescent="0.3">
      <c r="A183">
        <v>182</v>
      </c>
      <c r="B183" t="s">
        <v>83</v>
      </c>
      <c r="C183" t="s">
        <v>209</v>
      </c>
      <c r="D183" t="s">
        <v>213</v>
      </c>
      <c r="E183" s="2">
        <v>2000000</v>
      </c>
      <c r="F183" t="s">
        <v>287</v>
      </c>
      <c r="G183">
        <f t="shared" si="2"/>
        <v>20</v>
      </c>
    </row>
    <row r="184" spans="1:7" x14ac:dyDescent="0.3">
      <c r="A184">
        <v>183</v>
      </c>
      <c r="B184" t="s">
        <v>78</v>
      </c>
      <c r="C184" t="s">
        <v>209</v>
      </c>
      <c r="D184" t="s">
        <v>304</v>
      </c>
      <c r="E184" s="2">
        <v>2000000</v>
      </c>
      <c r="F184" t="s">
        <v>287</v>
      </c>
      <c r="G184">
        <f t="shared" si="2"/>
        <v>20</v>
      </c>
    </row>
    <row r="185" spans="1:7" x14ac:dyDescent="0.3">
      <c r="A185">
        <v>184</v>
      </c>
      <c r="B185" t="s">
        <v>398</v>
      </c>
      <c r="C185" t="s">
        <v>209</v>
      </c>
      <c r="D185" t="s">
        <v>215</v>
      </c>
      <c r="E185" s="2">
        <v>2000000</v>
      </c>
      <c r="F185" t="s">
        <v>287</v>
      </c>
      <c r="G185">
        <f t="shared" si="2"/>
        <v>20</v>
      </c>
    </row>
    <row r="186" spans="1:7" x14ac:dyDescent="0.3">
      <c r="A186">
        <v>185</v>
      </c>
      <c r="B186" t="s">
        <v>267</v>
      </c>
      <c r="C186" t="s">
        <v>212</v>
      </c>
      <c r="D186" t="s">
        <v>304</v>
      </c>
      <c r="E186" s="2">
        <v>107500000</v>
      </c>
      <c r="F186" t="s">
        <v>179</v>
      </c>
      <c r="G186">
        <f t="shared" si="2"/>
        <v>1075</v>
      </c>
    </row>
    <row r="187" spans="1:7" x14ac:dyDescent="0.3">
      <c r="A187">
        <v>186</v>
      </c>
      <c r="B187" t="s">
        <v>48</v>
      </c>
      <c r="C187" t="s">
        <v>209</v>
      </c>
      <c r="D187" t="s">
        <v>215</v>
      </c>
      <c r="E187" s="2">
        <v>87500000</v>
      </c>
      <c r="F187" t="s">
        <v>179</v>
      </c>
      <c r="G187">
        <f t="shared" si="2"/>
        <v>875</v>
      </c>
    </row>
    <row r="188" spans="1:7" x14ac:dyDescent="0.3">
      <c r="A188">
        <v>187</v>
      </c>
      <c r="B188" t="s">
        <v>9</v>
      </c>
      <c r="C188" t="s">
        <v>209</v>
      </c>
      <c r="D188" t="s">
        <v>309</v>
      </c>
      <c r="E188" s="2">
        <v>85000000</v>
      </c>
      <c r="F188" t="s">
        <v>179</v>
      </c>
      <c r="G188">
        <f t="shared" si="2"/>
        <v>850</v>
      </c>
    </row>
    <row r="189" spans="1:7" x14ac:dyDescent="0.3">
      <c r="A189">
        <v>188</v>
      </c>
      <c r="B189" t="s">
        <v>171</v>
      </c>
      <c r="C189" t="s">
        <v>212</v>
      </c>
      <c r="D189" t="s">
        <v>215</v>
      </c>
      <c r="E189" s="2">
        <v>77500000</v>
      </c>
      <c r="F189" t="s">
        <v>179</v>
      </c>
      <c r="G189">
        <f t="shared" si="2"/>
        <v>775</v>
      </c>
    </row>
    <row r="190" spans="1:7" x14ac:dyDescent="0.3">
      <c r="A190">
        <v>189</v>
      </c>
      <c r="B190" t="s">
        <v>399</v>
      </c>
      <c r="C190" t="s">
        <v>209</v>
      </c>
      <c r="D190" t="s">
        <v>215</v>
      </c>
      <c r="E190" s="2">
        <v>65000000</v>
      </c>
      <c r="F190" t="s">
        <v>179</v>
      </c>
      <c r="G190">
        <f t="shared" si="2"/>
        <v>650</v>
      </c>
    </row>
    <row r="191" spans="1:7" x14ac:dyDescent="0.3">
      <c r="A191">
        <v>190</v>
      </c>
      <c r="B191" t="s">
        <v>162</v>
      </c>
      <c r="C191" t="s">
        <v>209</v>
      </c>
      <c r="D191" t="s">
        <v>213</v>
      </c>
      <c r="E191" s="2">
        <v>42000000</v>
      </c>
      <c r="F191" t="s">
        <v>179</v>
      </c>
      <c r="G191">
        <f t="shared" si="2"/>
        <v>420</v>
      </c>
    </row>
    <row r="192" spans="1:7" x14ac:dyDescent="0.3">
      <c r="A192">
        <v>191</v>
      </c>
      <c r="B192" t="s">
        <v>124</v>
      </c>
      <c r="C192" t="s">
        <v>212</v>
      </c>
      <c r="D192" t="s">
        <v>215</v>
      </c>
      <c r="E192" s="2">
        <v>42000000</v>
      </c>
      <c r="F192" t="s">
        <v>179</v>
      </c>
      <c r="G192">
        <f t="shared" si="2"/>
        <v>420</v>
      </c>
    </row>
    <row r="193" spans="1:7" x14ac:dyDescent="0.3">
      <c r="A193">
        <v>192</v>
      </c>
      <c r="B193" t="s">
        <v>26</v>
      </c>
      <c r="C193" t="s">
        <v>209</v>
      </c>
      <c r="D193" t="s">
        <v>213</v>
      </c>
      <c r="E193" s="2">
        <v>40000000</v>
      </c>
      <c r="F193" t="s">
        <v>179</v>
      </c>
      <c r="G193">
        <f t="shared" si="2"/>
        <v>400</v>
      </c>
    </row>
    <row r="194" spans="1:7" x14ac:dyDescent="0.3">
      <c r="A194">
        <v>193</v>
      </c>
      <c r="B194" t="s">
        <v>223</v>
      </c>
      <c r="C194" t="s">
        <v>209</v>
      </c>
      <c r="D194" t="s">
        <v>213</v>
      </c>
      <c r="E194" s="2">
        <v>40000000</v>
      </c>
      <c r="F194" t="s">
        <v>179</v>
      </c>
      <c r="G194">
        <f t="shared" si="2"/>
        <v>400</v>
      </c>
    </row>
    <row r="195" spans="1:7" x14ac:dyDescent="0.3">
      <c r="A195">
        <v>194</v>
      </c>
      <c r="B195" t="s">
        <v>88</v>
      </c>
      <c r="C195" t="s">
        <v>212</v>
      </c>
      <c r="D195" t="s">
        <v>309</v>
      </c>
      <c r="E195" s="2">
        <v>26000000</v>
      </c>
      <c r="F195" t="s">
        <v>179</v>
      </c>
      <c r="G195">
        <f t="shared" ref="G195:G205" si="3">E195/100000</f>
        <v>260</v>
      </c>
    </row>
    <row r="196" spans="1:7" x14ac:dyDescent="0.3">
      <c r="A196">
        <v>195</v>
      </c>
      <c r="B196" t="s">
        <v>400</v>
      </c>
      <c r="C196" t="s">
        <v>212</v>
      </c>
      <c r="D196" t="s">
        <v>213</v>
      </c>
      <c r="E196" s="2">
        <v>24000000</v>
      </c>
      <c r="F196" t="s">
        <v>179</v>
      </c>
      <c r="G196">
        <f t="shared" si="3"/>
        <v>240</v>
      </c>
    </row>
    <row r="197" spans="1:7" x14ac:dyDescent="0.3">
      <c r="A197">
        <v>196</v>
      </c>
      <c r="B197" t="s">
        <v>51</v>
      </c>
      <c r="C197" t="s">
        <v>212</v>
      </c>
      <c r="D197" t="s">
        <v>304</v>
      </c>
      <c r="E197" s="2">
        <v>15000000</v>
      </c>
      <c r="F197" t="s">
        <v>179</v>
      </c>
      <c r="G197">
        <f t="shared" si="3"/>
        <v>150</v>
      </c>
    </row>
    <row r="198" spans="1:7" x14ac:dyDescent="0.3">
      <c r="A198">
        <v>197</v>
      </c>
      <c r="B198" t="s">
        <v>18</v>
      </c>
      <c r="C198" t="s">
        <v>209</v>
      </c>
      <c r="D198" t="s">
        <v>213</v>
      </c>
      <c r="E198" s="2">
        <v>7500000</v>
      </c>
      <c r="F198" t="s">
        <v>179</v>
      </c>
      <c r="G198">
        <f t="shared" si="3"/>
        <v>75</v>
      </c>
    </row>
    <row r="199" spans="1:7" x14ac:dyDescent="0.3">
      <c r="A199">
        <v>198</v>
      </c>
      <c r="B199" t="s">
        <v>135</v>
      </c>
      <c r="C199" t="s">
        <v>209</v>
      </c>
      <c r="D199" t="s">
        <v>304</v>
      </c>
      <c r="E199" s="2">
        <v>5000000</v>
      </c>
      <c r="F199" t="s">
        <v>179</v>
      </c>
      <c r="G199">
        <f t="shared" si="3"/>
        <v>50</v>
      </c>
    </row>
    <row r="200" spans="1:7" x14ac:dyDescent="0.3">
      <c r="A200">
        <v>199</v>
      </c>
      <c r="B200" t="s">
        <v>149</v>
      </c>
      <c r="C200" t="s">
        <v>212</v>
      </c>
      <c r="D200" t="s">
        <v>213</v>
      </c>
      <c r="E200" s="2">
        <v>5000000</v>
      </c>
      <c r="F200" t="s">
        <v>179</v>
      </c>
      <c r="G200">
        <f t="shared" si="3"/>
        <v>50</v>
      </c>
    </row>
    <row r="201" spans="1:7" x14ac:dyDescent="0.3">
      <c r="A201">
        <v>200</v>
      </c>
      <c r="B201" t="s">
        <v>401</v>
      </c>
      <c r="C201" t="s">
        <v>209</v>
      </c>
      <c r="D201" t="s">
        <v>309</v>
      </c>
      <c r="E201" s="2">
        <v>2000000</v>
      </c>
      <c r="F201" t="s">
        <v>179</v>
      </c>
      <c r="G201">
        <f t="shared" si="3"/>
        <v>20</v>
      </c>
    </row>
    <row r="202" spans="1:7" x14ac:dyDescent="0.3">
      <c r="A202">
        <v>201</v>
      </c>
      <c r="B202" t="s">
        <v>402</v>
      </c>
      <c r="C202" t="s">
        <v>209</v>
      </c>
      <c r="D202" t="s">
        <v>213</v>
      </c>
      <c r="E202" s="2">
        <v>2000000</v>
      </c>
      <c r="F202" t="s">
        <v>179</v>
      </c>
      <c r="G202">
        <f t="shared" si="3"/>
        <v>20</v>
      </c>
    </row>
    <row r="203" spans="1:7" x14ac:dyDescent="0.3">
      <c r="A203">
        <v>202</v>
      </c>
      <c r="B203" t="s">
        <v>403</v>
      </c>
      <c r="C203" t="s">
        <v>209</v>
      </c>
      <c r="D203" t="s">
        <v>309</v>
      </c>
      <c r="E203" s="2">
        <v>2000000</v>
      </c>
      <c r="F203" t="s">
        <v>179</v>
      </c>
      <c r="G203">
        <f t="shared" si="3"/>
        <v>20</v>
      </c>
    </row>
    <row r="204" spans="1:7" x14ac:dyDescent="0.3">
      <c r="A204">
        <v>203</v>
      </c>
      <c r="B204" t="s">
        <v>242</v>
      </c>
      <c r="C204" t="s">
        <v>209</v>
      </c>
      <c r="D204" t="s">
        <v>215</v>
      </c>
      <c r="E204" s="2">
        <v>2000000</v>
      </c>
      <c r="F204" t="s">
        <v>179</v>
      </c>
      <c r="G204">
        <f t="shared" si="3"/>
        <v>20</v>
      </c>
    </row>
    <row r="205" spans="1:7" x14ac:dyDescent="0.3">
      <c r="A205">
        <v>204</v>
      </c>
      <c r="B205" t="s">
        <v>404</v>
      </c>
      <c r="C205" t="s">
        <v>209</v>
      </c>
      <c r="D205" t="s">
        <v>213</v>
      </c>
      <c r="E205" s="2">
        <v>2000000</v>
      </c>
      <c r="F205" t="s">
        <v>179</v>
      </c>
      <c r="G205">
        <f t="shared" si="3"/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zoomScaleNormal="100" workbookViewId="0">
      <selection activeCell="L20" sqref="L20"/>
    </sheetView>
  </sheetViews>
  <sheetFormatPr defaultRowHeight="14.4" x14ac:dyDescent="0.3"/>
  <cols>
    <col min="1" max="1" width="29" bestFit="1" customWidth="1"/>
    <col min="2" max="2" width="16" customWidth="1"/>
    <col min="3" max="3" width="20.109375" customWidth="1"/>
    <col min="4" max="4" width="13.44140625" customWidth="1"/>
    <col min="5" max="5" width="12.5546875" customWidth="1"/>
  </cols>
  <sheetData>
    <row r="1" spans="1:10" x14ac:dyDescent="0.3">
      <c r="A1" t="s">
        <v>194</v>
      </c>
      <c r="B1" t="s">
        <v>405</v>
      </c>
      <c r="C1" t="s">
        <v>406</v>
      </c>
      <c r="D1" t="s">
        <v>407</v>
      </c>
      <c r="E1" t="s">
        <v>408</v>
      </c>
      <c r="F1" t="s">
        <v>410</v>
      </c>
      <c r="G1" t="s">
        <v>409</v>
      </c>
      <c r="H1" t="s">
        <v>411</v>
      </c>
      <c r="I1" t="s">
        <v>412</v>
      </c>
      <c r="J1" t="s">
        <v>414</v>
      </c>
    </row>
    <row r="2" spans="1:10" x14ac:dyDescent="0.3">
      <c r="A2" t="s">
        <v>0</v>
      </c>
      <c r="B2">
        <f>VLOOKUP(A2, '2025'!B:H, 2, FALSE)</f>
        <v>20000000</v>
      </c>
      <c r="C2">
        <f>IFERROR(VLOOKUP(A2,'2024'!B:G,4,FALSE),0)</f>
        <v>0</v>
      </c>
      <c r="D2">
        <f>IFERROR(VLOOKUP(A2,'2023'!B:G,4,FALSE),0)</f>
        <v>0</v>
      </c>
      <c r="E2">
        <f>IFERROR(VLOOKUP(A2,'2022'!B:G,4,FALSE),0)</f>
        <v>3000000</v>
      </c>
      <c r="F2" t="str">
        <f>IFERROR(VLOOKUP(A2,'2022'!B:G,3,FALSE),"Unknown")</f>
        <v>Bowler</v>
      </c>
      <c r="G2" t="str">
        <f>IFERROR(VLOOKUP(A2,'2023'!B:G,3,FALSE),"Unknown")</f>
        <v>Unknown</v>
      </c>
      <c r="H2" t="str">
        <f>IFERROR(VLOOKUP(A2,'2024'!B:G,3,FALSE),"Unknown")</f>
        <v>Unknown</v>
      </c>
      <c r="I2" t="str">
        <f>IF(F2&lt;&gt;"Unknown",F2,IF(G2&lt;&gt;"Unknown",G2,H2))</f>
        <v>Bowler</v>
      </c>
      <c r="J2" t="str">
        <f>VLOOKUP(A2,'2025'!B:F,5,FALSE)</f>
        <v>Chennai Super Kings</v>
      </c>
    </row>
    <row r="3" spans="1:10" x14ac:dyDescent="0.3">
      <c r="A3" t="s">
        <v>3</v>
      </c>
      <c r="B3">
        <f>VLOOKUP(A3, '2025'!B:H, 2, FALSE)</f>
        <v>20000000</v>
      </c>
      <c r="C3">
        <f>IFERROR(VLOOKUP(A3,'2024'!B:G,4,FALSE),0)</f>
        <v>0</v>
      </c>
      <c r="D3">
        <f>IFERROR(VLOOKUP(A3,'2023'!B:G,4,FALSE),0)</f>
        <v>0</v>
      </c>
      <c r="E3">
        <f>IFERROR(VLOOKUP(A3,'2022'!B:G,4,FALSE),0)</f>
        <v>0</v>
      </c>
      <c r="F3" t="str">
        <f>IFERROR(VLOOKUP(A3,'2022'!B:G,3,FALSE),"Unknown")</f>
        <v>Unknown</v>
      </c>
      <c r="G3" t="str">
        <f>IFERROR(VLOOKUP(A3,'2023'!B:G,3,FALSE),"Unknown")</f>
        <v>Unknown</v>
      </c>
      <c r="H3" t="str">
        <f>IFERROR(VLOOKUP(A3,'2024'!B:G,3,FALSE),"Unknown")</f>
        <v>Unknown</v>
      </c>
      <c r="I3" t="str">
        <f t="shared" ref="I3:I30" si="0">IF(F3&lt;&gt;"Unknown",F3,IF(G3&lt;&gt;"Unknown",G3,H3))</f>
        <v>Unknown</v>
      </c>
      <c r="J3" t="str">
        <f>VLOOKUP(A3,'2025'!B:F,5,FALSE)</f>
        <v>Chennai Super Kings</v>
      </c>
    </row>
    <row r="4" spans="1:10" x14ac:dyDescent="0.3">
      <c r="A4" t="s">
        <v>4</v>
      </c>
      <c r="B4">
        <f>VLOOKUP(A4, '2025'!B:H, 2, FALSE)</f>
        <v>20000000</v>
      </c>
      <c r="C4">
        <f>IFERROR(VLOOKUP(A4,'2024'!B:G,4,FALSE),0)</f>
        <v>0</v>
      </c>
      <c r="D4">
        <f>IFERROR(VLOOKUP(A4,'2023'!B:G,4,FALSE),0)</f>
        <v>0</v>
      </c>
      <c r="E4">
        <f>IFERROR(VLOOKUP(A4,'2022'!B:G,4,FALSE),0)</f>
        <v>10000000</v>
      </c>
      <c r="F4" t="str">
        <f>IFERROR(VLOOKUP(A4,'2022'!B:G,3,FALSE),"Unknown")</f>
        <v>Batsman</v>
      </c>
      <c r="G4" t="str">
        <f>IFERROR(VLOOKUP(A4,'2023'!B:G,3,FALSE),"Unknown")</f>
        <v>Unknown</v>
      </c>
      <c r="H4" t="str">
        <f>IFERROR(VLOOKUP(A4,'2024'!B:G,3,FALSE),"Unknown")</f>
        <v>Unknown</v>
      </c>
      <c r="I4" t="str">
        <f t="shared" si="0"/>
        <v>Batsman</v>
      </c>
      <c r="J4" t="str">
        <f>VLOOKUP(A4,'2025'!B:F,5,FALSE)</f>
        <v>Chennai Super Kings</v>
      </c>
    </row>
    <row r="5" spans="1:10" x14ac:dyDescent="0.3">
      <c r="A5" t="s">
        <v>5</v>
      </c>
      <c r="B5">
        <f>VLOOKUP(A5, '2025'!B:H, 2, FALSE)</f>
        <v>20000000</v>
      </c>
      <c r="C5">
        <f>IFERROR(VLOOKUP(A5,'2024'!B:G,4,FALSE),0)</f>
        <v>0</v>
      </c>
      <c r="D5">
        <f>IFERROR(VLOOKUP(A5,'2023'!B:G,4,FALSE),0)</f>
        <v>0</v>
      </c>
      <c r="E5">
        <f>IFERROR(VLOOKUP(A5,'2022'!B:G,4,FALSE),0)</f>
        <v>52500000</v>
      </c>
      <c r="F5" t="str">
        <f>IFERROR(VLOOKUP(A5,'2022'!B:G,3,FALSE),"Unknown")</f>
        <v>Bowler</v>
      </c>
      <c r="G5" t="str">
        <f>IFERROR(VLOOKUP(A5,'2023'!B:G,3,FALSE),"Unknown")</f>
        <v>Unknown</v>
      </c>
      <c r="H5" t="str">
        <f>IFERROR(VLOOKUP(A5,'2024'!B:G,3,FALSE),"Unknown")</f>
        <v>Unknown</v>
      </c>
      <c r="I5" t="str">
        <f t="shared" si="0"/>
        <v>Bowler</v>
      </c>
      <c r="J5" t="str">
        <f>VLOOKUP(A5,'2025'!B:F,5,FALSE)</f>
        <v>Chennai Super Kings</v>
      </c>
    </row>
    <row r="6" spans="1:10" x14ac:dyDescent="0.3">
      <c r="A6" t="s">
        <v>6</v>
      </c>
      <c r="B6">
        <f>VLOOKUP(A6, '2025'!B:H, 2, FALSE)</f>
        <v>15000000</v>
      </c>
      <c r="C6">
        <f>IFERROR(VLOOKUP(A6,'2024'!B:G,4,FALSE),0)</f>
        <v>18000000</v>
      </c>
      <c r="D6">
        <f>IFERROR(VLOOKUP(A6,'2023'!B:G,4,FALSE),0)</f>
        <v>0</v>
      </c>
      <c r="E6">
        <f>IFERROR(VLOOKUP(A6,'2022'!B:G,4,FALSE),0)</f>
        <v>0</v>
      </c>
      <c r="F6" t="str">
        <f>IFERROR(VLOOKUP(A6,'2022'!B:G,3,FALSE),"Unknown")</f>
        <v>Unknown</v>
      </c>
      <c r="G6" t="str">
        <f>IFERROR(VLOOKUP(A6,'2023'!B:G,3,FALSE),"Unknown")</f>
        <v>Unknown</v>
      </c>
      <c r="H6" t="str">
        <f>IFERROR(VLOOKUP(A6,'2024'!B:G,3,FALSE),"Unknown")</f>
        <v>All-Rounder</v>
      </c>
      <c r="I6" t="str">
        <f>IF(F6&lt;&gt;"Unknown",F6,IF(G6&lt;&gt;"Unknown",G6,H6))</f>
        <v>All-Rounder</v>
      </c>
      <c r="J6" t="str">
        <f>VLOOKUP(A6,'2025'!B:F,5,FALSE)</f>
        <v>Chennai Super Kings</v>
      </c>
    </row>
    <row r="7" spans="1:10" x14ac:dyDescent="0.3">
      <c r="A7" t="s">
        <v>7</v>
      </c>
      <c r="B7">
        <f>VLOOKUP(A7, '2025'!B:H, 2, FALSE)</f>
        <v>3000000</v>
      </c>
      <c r="C7">
        <f>IFERROR(VLOOKUP(A7,'2024'!B:G,4,FALSE),0)</f>
        <v>2000000</v>
      </c>
      <c r="D7">
        <f>IFERROR(VLOOKUP(A7,'2023'!B:G,4,FALSE),0)</f>
        <v>0</v>
      </c>
      <c r="E7">
        <f>IFERROR(VLOOKUP(A7,'2022'!B:G,4,FALSE),0)</f>
        <v>0</v>
      </c>
      <c r="F7" t="str">
        <f>IFERROR(VLOOKUP(A7,'2022'!B:G,3,FALSE),"Unknown")</f>
        <v>Unknown</v>
      </c>
      <c r="G7" t="str">
        <f>IFERROR(VLOOKUP(A7,'2023'!B:G,3,FALSE),"Unknown")</f>
        <v>Unknown</v>
      </c>
      <c r="H7" t="str">
        <f>IFERROR(VLOOKUP(A7,'2024'!B:G,3,FALSE),"Unknown")</f>
        <v>All-Rounder</v>
      </c>
      <c r="I7" t="str">
        <f t="shared" si="0"/>
        <v>All-Rounder</v>
      </c>
      <c r="J7" t="str">
        <f>VLOOKUP(A7,'2025'!B:F,5,FALSE)</f>
        <v>Chennai Super Kings</v>
      </c>
    </row>
    <row r="8" spans="1:10" x14ac:dyDescent="0.3">
      <c r="A8" t="s">
        <v>9</v>
      </c>
      <c r="B8">
        <f>VLOOKUP(A8, '2025'!B:H, 2, FALSE)</f>
        <v>7500000</v>
      </c>
      <c r="C8">
        <f>IFERROR(VLOOKUP(A8,'2024'!B:G,4,FALSE),0)</f>
        <v>0</v>
      </c>
      <c r="D8">
        <f>IFERROR(VLOOKUP(A8,'2023'!B:G,4,FALSE),0)</f>
        <v>0</v>
      </c>
      <c r="E8">
        <f>IFERROR(VLOOKUP(A8,'2022'!B:G,4,FALSE),0)</f>
        <v>85000000</v>
      </c>
      <c r="F8" t="str">
        <f>IFERROR(VLOOKUP(A8,'2022'!B:G,3,FALSE),"Unknown")</f>
        <v>Batsman</v>
      </c>
      <c r="G8" t="str">
        <f>IFERROR(VLOOKUP(A8,'2023'!B:G,3,FALSE),"Unknown")</f>
        <v>Unknown</v>
      </c>
      <c r="H8" t="str">
        <f>IFERROR(VLOOKUP(A8,'2024'!B:G,3,FALSE),"Unknown")</f>
        <v>Unknown</v>
      </c>
      <c r="I8" t="str">
        <f t="shared" si="0"/>
        <v>Batsman</v>
      </c>
      <c r="J8" t="str">
        <f>VLOOKUP(A8,'2025'!B:F,5,FALSE)</f>
        <v>Chennai Super Kings</v>
      </c>
    </row>
    <row r="9" spans="1:10" x14ac:dyDescent="0.3">
      <c r="A9" t="s">
        <v>10</v>
      </c>
      <c r="B9">
        <f>VLOOKUP(A9, '2025'!B:H, 2, FALSE)</f>
        <v>20000000</v>
      </c>
      <c r="C9">
        <f>IFERROR(VLOOKUP(A9,'2024'!B:G,4,FALSE),0)</f>
        <v>0</v>
      </c>
      <c r="D9">
        <f>IFERROR(VLOOKUP(A9,'2023'!B:G,4,FALSE),0)</f>
        <v>185000000</v>
      </c>
      <c r="E9">
        <f>IFERROR(VLOOKUP(A9,'2022'!B:G,4,FALSE),0)</f>
        <v>0</v>
      </c>
      <c r="F9" t="str">
        <f>IFERROR(VLOOKUP(A9,'2022'!B:G,3,FALSE),"Unknown")</f>
        <v>Unknown</v>
      </c>
      <c r="G9" t="str">
        <f>IFERROR(VLOOKUP(A9,'2023'!B:G,3,FALSE),"Unknown")</f>
        <v>All-Rounder</v>
      </c>
      <c r="H9" t="str">
        <f>IFERROR(VLOOKUP(A9,'2024'!B:G,3,FALSE),"Unknown")</f>
        <v>Unknown</v>
      </c>
      <c r="I9" t="str">
        <f t="shared" si="0"/>
        <v>All-Rounder</v>
      </c>
      <c r="J9" t="str">
        <f>VLOOKUP(A9,'2025'!B:F,5,FALSE)</f>
        <v>Chennai Super Kings</v>
      </c>
    </row>
    <row r="10" spans="1:10" x14ac:dyDescent="0.3">
      <c r="A10" t="s">
        <v>11</v>
      </c>
      <c r="B10">
        <f>VLOOKUP(A10, '2025'!B:H, 2, FALSE)</f>
        <v>3000000</v>
      </c>
      <c r="C10">
        <f>IFERROR(VLOOKUP(A10,'2024'!B:G,4,FALSE),0)</f>
        <v>0</v>
      </c>
      <c r="D10">
        <f>IFERROR(VLOOKUP(A10,'2023'!B:G,4,FALSE),0)</f>
        <v>0</v>
      </c>
      <c r="E10">
        <f>IFERROR(VLOOKUP(A10,'2022'!B:G,4,FALSE),0)</f>
        <v>0</v>
      </c>
      <c r="F10" t="str">
        <f>IFERROR(VLOOKUP(A10,'2022'!B:G,3,FALSE),"Unknown")</f>
        <v>Unknown</v>
      </c>
      <c r="G10" t="str">
        <f>IFERROR(VLOOKUP(A10,'2023'!B:G,3,FALSE),"Unknown")</f>
        <v>Unknown</v>
      </c>
      <c r="H10" t="str">
        <f>IFERROR(VLOOKUP(A10,'2024'!B:G,3,FALSE),"Unknown")</f>
        <v>Unknown</v>
      </c>
      <c r="I10" t="str">
        <f>IF(F10&lt;&gt;"Unknown",F10,IF(G10&lt;&gt;"Unknown",G10,H10))</f>
        <v>Unknown</v>
      </c>
      <c r="J10" t="str">
        <f>VLOOKUP(A10,'2025'!B:F,5,FALSE)</f>
        <v>Chennai Super Kings</v>
      </c>
    </row>
    <row r="11" spans="1:10" x14ac:dyDescent="0.3">
      <c r="A11" t="s">
        <v>12</v>
      </c>
      <c r="B11">
        <f>VLOOKUP(A11, '2025'!B:H, 2, FALSE)</f>
        <v>12500000</v>
      </c>
      <c r="C11">
        <f>IFERROR(VLOOKUP(A11,'2024'!B:G,4,FALSE),0)</f>
        <v>0</v>
      </c>
      <c r="D11">
        <f>IFERROR(VLOOKUP(A11,'2023'!B:G,4,FALSE),0)</f>
        <v>0</v>
      </c>
      <c r="E11">
        <f>IFERROR(VLOOKUP(A11,'2022'!B:G,4,FALSE),0)</f>
        <v>7500000</v>
      </c>
      <c r="F11" t="str">
        <f>IFERROR(VLOOKUP(A11,'2022'!B:G,3,FALSE),"Unknown")</f>
        <v>Bowler</v>
      </c>
      <c r="G11" t="str">
        <f>IFERROR(VLOOKUP(A11,'2023'!B:G,3,FALSE),"Unknown")</f>
        <v>Unknown</v>
      </c>
      <c r="H11" t="str">
        <f>IFERROR(VLOOKUP(A11,'2024'!B:G,3,FALSE),"Unknown")</f>
        <v>Unknown</v>
      </c>
      <c r="I11" t="str">
        <f t="shared" si="0"/>
        <v>Bowler</v>
      </c>
      <c r="J11" t="str">
        <f>VLOOKUP(A11,'2025'!B:F,5,FALSE)</f>
        <v>Chennai Super Kings</v>
      </c>
    </row>
    <row r="12" spans="1:10" x14ac:dyDescent="0.3">
      <c r="A12" t="s">
        <v>13</v>
      </c>
      <c r="B12">
        <f>VLOOKUP(A12, '2025'!B:H, 2, FALSE)</f>
        <v>7500000</v>
      </c>
      <c r="C12">
        <f>IFERROR(VLOOKUP(A12,'2024'!B:G,4,FALSE),0)</f>
        <v>0</v>
      </c>
      <c r="D12">
        <f>IFERROR(VLOOKUP(A12,'2023'!B:G,4,FALSE),0)</f>
        <v>0</v>
      </c>
      <c r="E12">
        <f>IFERROR(VLOOKUP(A12,'2022'!B:G,4,FALSE),0)</f>
        <v>57500000</v>
      </c>
      <c r="F12" t="str">
        <f>IFERROR(VLOOKUP(A12,'2022'!B:G,3,FALSE),"Unknown")</f>
        <v>All-Rounder</v>
      </c>
      <c r="G12" t="str">
        <f>IFERROR(VLOOKUP(A12,'2023'!B:G,3,FALSE),"Unknown")</f>
        <v>Unknown</v>
      </c>
      <c r="H12" t="str">
        <f>IFERROR(VLOOKUP(A12,'2024'!B:G,3,FALSE),"Unknown")</f>
        <v>Unknown</v>
      </c>
      <c r="I12" t="str">
        <f t="shared" si="0"/>
        <v>All-Rounder</v>
      </c>
      <c r="J12" t="str">
        <f>VLOOKUP(A12,'2025'!B:F,5,FALSE)</f>
        <v>Chennai Super Kings</v>
      </c>
    </row>
    <row r="13" spans="1:10" x14ac:dyDescent="0.3">
      <c r="A13" t="s">
        <v>14</v>
      </c>
      <c r="B13">
        <f>VLOOKUP(A13, '2025'!B:H, 2, FALSE)</f>
        <v>15000000</v>
      </c>
      <c r="C13">
        <f>IFERROR(VLOOKUP(A13,'2024'!B:G,4,FALSE),0)</f>
        <v>0</v>
      </c>
      <c r="D13">
        <f>IFERROR(VLOOKUP(A13,'2023'!B:G,4,FALSE),0)</f>
        <v>0</v>
      </c>
      <c r="E13">
        <f>IFERROR(VLOOKUP(A13,'2022'!B:G,4,FALSE),0)</f>
        <v>0</v>
      </c>
      <c r="F13" t="str">
        <f>IFERROR(VLOOKUP(A13,'2022'!B:G,3,FALSE),"Unknown")</f>
        <v>Unknown</v>
      </c>
      <c r="G13" t="str">
        <f>IFERROR(VLOOKUP(A13,'2023'!B:G,3,FALSE),"Unknown")</f>
        <v>Unknown</v>
      </c>
      <c r="H13" t="str">
        <f>IFERROR(VLOOKUP(A13,'2024'!B:G,3,FALSE),"Unknown")</f>
        <v>Unknown</v>
      </c>
      <c r="I13" t="str">
        <f t="shared" si="0"/>
        <v>Unknown</v>
      </c>
      <c r="J13" t="str">
        <f>VLOOKUP(A13,'2025'!B:F,5,FALSE)</f>
        <v>Chennai Super Kings</v>
      </c>
    </row>
    <row r="14" spans="1:10" x14ac:dyDescent="0.3">
      <c r="A14" t="s">
        <v>15</v>
      </c>
      <c r="B14">
        <f>VLOOKUP(A14, '2025'!B:H, 2, FALSE)</f>
        <v>3000000</v>
      </c>
      <c r="C14">
        <f>IFERROR(VLOOKUP(A14,'2024'!B:G,4,FALSE),0)</f>
        <v>0</v>
      </c>
      <c r="D14">
        <f>IFERROR(VLOOKUP(A14,'2023'!B:G,4,FALSE),0)</f>
        <v>0</v>
      </c>
      <c r="E14">
        <f>IFERROR(VLOOKUP(A14,'2022'!B:G,4,FALSE),0)</f>
        <v>14000000</v>
      </c>
      <c r="F14" t="str">
        <f>IFERROR(VLOOKUP(A14,'2022'!B:G,3,FALSE),"Unknown")</f>
        <v>All-Rounder</v>
      </c>
      <c r="G14" t="str">
        <f>IFERROR(VLOOKUP(A14,'2023'!B:G,3,FALSE),"Unknown")</f>
        <v>Unknown</v>
      </c>
      <c r="H14" t="str">
        <f>IFERROR(VLOOKUP(A14,'2024'!B:G,3,FALSE),"Unknown")</f>
        <v>Unknown</v>
      </c>
      <c r="I14" t="str">
        <f>IF(F14&lt;&gt;"Unknown",F14,IF(G14&lt;&gt;"Unknown",G14,H14))</f>
        <v>All-Rounder</v>
      </c>
      <c r="J14" t="str">
        <f>VLOOKUP(A14,'2025'!B:F,5,FALSE)</f>
        <v>Chennai Super Kings</v>
      </c>
    </row>
    <row r="15" spans="1:10" x14ac:dyDescent="0.3">
      <c r="A15" t="s">
        <v>16</v>
      </c>
      <c r="B15">
        <f>VLOOKUP(A15, '2025'!B:H, 2, FALSE)</f>
        <v>3000000</v>
      </c>
      <c r="C15">
        <f>IFERROR(VLOOKUP(A15,'2024'!B:G,4,FALSE),0)</f>
        <v>0</v>
      </c>
      <c r="D15">
        <f>IFERROR(VLOOKUP(A15,'2023'!B:G,4,FALSE),0)</f>
        <v>0</v>
      </c>
      <c r="E15">
        <f>IFERROR(VLOOKUP(A15,'2022'!B:G,4,FALSE),0)</f>
        <v>0</v>
      </c>
      <c r="F15" t="str">
        <f>IFERROR(VLOOKUP(A15,'2022'!B:G,3,FALSE),"Unknown")</f>
        <v>Unknown</v>
      </c>
      <c r="G15" t="str">
        <f>IFERROR(VLOOKUP(A15,'2023'!B:G,3,FALSE),"Unknown")</f>
        <v>Unknown</v>
      </c>
      <c r="H15" t="str">
        <f>IFERROR(VLOOKUP(A15,'2024'!B:G,3,FALSE),"Unknown")</f>
        <v>Unknown</v>
      </c>
      <c r="I15" t="str">
        <f t="shared" si="0"/>
        <v>Unknown</v>
      </c>
      <c r="J15" t="str">
        <f>VLOOKUP(A15,'2025'!B:F,5,FALSE)</f>
        <v>Chennai Super Kings</v>
      </c>
    </row>
    <row r="16" spans="1:10" x14ac:dyDescent="0.3">
      <c r="A16" t="s">
        <v>17</v>
      </c>
      <c r="B16">
        <f>VLOOKUP(A16, '2025'!B:H, 2, FALSE)</f>
        <v>3000000</v>
      </c>
      <c r="C16">
        <f>IFERROR(VLOOKUP(A16,'2024'!B:G,4,FALSE),0)</f>
        <v>0</v>
      </c>
      <c r="D16">
        <f>IFERROR(VLOOKUP(A16,'2023'!B:G,4,FALSE),0)</f>
        <v>0</v>
      </c>
      <c r="E16">
        <f>IFERROR(VLOOKUP(A16,'2022'!B:G,4,FALSE),0)</f>
        <v>0</v>
      </c>
      <c r="F16" t="str">
        <f>IFERROR(VLOOKUP(A16,'2022'!B:G,3,FALSE),"Unknown")</f>
        <v>Unknown</v>
      </c>
      <c r="G16" t="str">
        <f>IFERROR(VLOOKUP(A16,'2023'!B:G,3,FALSE),"Unknown")</f>
        <v>Unknown</v>
      </c>
      <c r="H16" t="str">
        <f>IFERROR(VLOOKUP(A16,'2024'!B:G,3,FALSE),"Unknown")</f>
        <v>Unknown</v>
      </c>
      <c r="I16" t="str">
        <f>IF(F16&lt;&gt;"Unknown",F16,IF(G16&lt;&gt;"Unknown",G16,H16))</f>
        <v>Unknown</v>
      </c>
      <c r="J16" t="str">
        <f>VLOOKUP(A16,'2025'!B:F,5,FALSE)</f>
        <v>Chennai Super Kings</v>
      </c>
    </row>
    <row r="17" spans="1:10" x14ac:dyDescent="0.3">
      <c r="A17" t="s">
        <v>18</v>
      </c>
      <c r="B17">
        <f>VLOOKUP(A17, '2025'!B:H, 2, FALSE)</f>
        <v>3000000</v>
      </c>
      <c r="C17">
        <f>IFERROR(VLOOKUP(A17,'2024'!B:G,4,FALSE),0)</f>
        <v>2000000</v>
      </c>
      <c r="D17">
        <f>IFERROR(VLOOKUP(A17,'2023'!B:G,4,FALSE),0)</f>
        <v>0</v>
      </c>
      <c r="E17">
        <f>IFERROR(VLOOKUP(A17,'2022'!B:G,4,FALSE),0)</f>
        <v>7500000</v>
      </c>
      <c r="F17" t="str">
        <f>IFERROR(VLOOKUP(A17,'2022'!B:G,3,FALSE),"Unknown")</f>
        <v>Bowler</v>
      </c>
      <c r="G17" t="str">
        <f>IFERROR(VLOOKUP(A17,'2023'!B:G,3,FALSE),"Unknown")</f>
        <v>Unknown</v>
      </c>
      <c r="H17" t="str">
        <f>IFERROR(VLOOKUP(A17,'2024'!B:G,3,FALSE),"Unknown")</f>
        <v>Bowler</v>
      </c>
      <c r="I17" t="str">
        <f t="shared" si="0"/>
        <v>Bowler</v>
      </c>
      <c r="J17" t="str">
        <f>VLOOKUP(A17,'2025'!B:F,5,FALSE)</f>
        <v>Chennai Super Kings</v>
      </c>
    </row>
    <row r="18" spans="1:10" x14ac:dyDescent="0.3">
      <c r="A18" t="s">
        <v>19</v>
      </c>
      <c r="B18">
        <f>VLOOKUP(A18, '2025'!B:H, 2, FALSE)</f>
        <v>3000000</v>
      </c>
      <c r="C18">
        <f>IFERROR(VLOOKUP(A18,'2024'!B:G,4,FALSE),0)</f>
        <v>0</v>
      </c>
      <c r="D18">
        <f>IFERROR(VLOOKUP(A18,'2023'!B:G,4,FALSE),0)</f>
        <v>0</v>
      </c>
      <c r="E18">
        <f>IFERROR(VLOOKUP(A18,'2022'!B:G,4,FALSE),0)</f>
        <v>0</v>
      </c>
      <c r="F18" t="str">
        <f>IFERROR(VLOOKUP(A18,'2022'!B:G,3,FALSE),"Unknown")</f>
        <v>Unknown</v>
      </c>
      <c r="G18" t="str">
        <f>IFERROR(VLOOKUP(A18,'2023'!B:G,3,FALSE),"Unknown")</f>
        <v>Unknown</v>
      </c>
      <c r="H18" t="str">
        <f>IFERROR(VLOOKUP(A18,'2024'!B:G,3,FALSE),"Unknown")</f>
        <v>Unknown</v>
      </c>
      <c r="I18" t="str">
        <f t="shared" si="0"/>
        <v>Unknown</v>
      </c>
      <c r="J18" t="str">
        <f>VLOOKUP(A18,'2025'!B:F,5,FALSE)</f>
        <v>Chennai Super Kings</v>
      </c>
    </row>
    <row r="19" spans="1:10" x14ac:dyDescent="0.3">
      <c r="A19" t="s">
        <v>20</v>
      </c>
      <c r="B19">
        <f>VLOOKUP(A19, '2025'!B:H, 2, FALSE)</f>
        <v>3000000</v>
      </c>
      <c r="C19">
        <f>IFERROR(VLOOKUP(A19,'2024'!B:G,4,FALSE),0)</f>
        <v>0</v>
      </c>
      <c r="D19">
        <f>IFERROR(VLOOKUP(A19,'2023'!B:G,4,FALSE),0)</f>
        <v>0</v>
      </c>
      <c r="E19">
        <f>IFERROR(VLOOKUP(A19,'2022'!B:G,4,FALSE),0)</f>
        <v>11000000</v>
      </c>
      <c r="F19" t="str">
        <f>IFERROR(VLOOKUP(A19,'2022'!B:G,3,FALSE),"Unknown")</f>
        <v>All-Rounder</v>
      </c>
      <c r="G19" t="str">
        <f>IFERROR(VLOOKUP(A19,'2023'!B:G,3,FALSE),"Unknown")</f>
        <v>Unknown</v>
      </c>
      <c r="H19" t="str">
        <f>IFERROR(VLOOKUP(A19,'2024'!B:G,3,FALSE),"Unknown")</f>
        <v>Unknown</v>
      </c>
      <c r="I19" t="str">
        <f t="shared" si="0"/>
        <v>All-Rounder</v>
      </c>
      <c r="J19" t="str">
        <f>VLOOKUP(A19,'2025'!B:F,5,FALSE)</f>
        <v>Chennai Super Kings</v>
      </c>
    </row>
    <row r="20" spans="1:10" x14ac:dyDescent="0.3">
      <c r="A20" t="s">
        <v>21</v>
      </c>
      <c r="B20">
        <f>VLOOKUP(A20, '2025'!B:H, 2, FALSE)</f>
        <v>3000000</v>
      </c>
      <c r="C20">
        <f>IFERROR(VLOOKUP(A20,'2024'!B:G,4,FALSE),0)</f>
        <v>0</v>
      </c>
      <c r="D20">
        <f>IFERROR(VLOOKUP(A20,'2023'!B:G,4,FALSE),0)</f>
        <v>0</v>
      </c>
      <c r="E20">
        <f>IFERROR(VLOOKUP(A20,'2022'!B:G,4,FALSE),0)</f>
        <v>2000000</v>
      </c>
      <c r="F20" t="str">
        <f>IFERROR(VLOOKUP(A20,'2022'!B:G,3,FALSE),"Unknown")</f>
        <v>Bowler</v>
      </c>
      <c r="G20" t="str">
        <f>IFERROR(VLOOKUP(A20,'2023'!B:G,3,FALSE),"Unknown")</f>
        <v>Unknown</v>
      </c>
      <c r="H20" t="str">
        <f>IFERROR(VLOOKUP(A20,'2024'!B:G,3,FALSE),"Unknown")</f>
        <v>Unknown</v>
      </c>
      <c r="I20" t="str">
        <f>IF(F20&lt;&gt;"Unknown",F20,IF(G20&lt;&gt;"Unknown",G20,H20))</f>
        <v>Bowler</v>
      </c>
      <c r="J20" t="str">
        <f>VLOOKUP(A20,'2025'!B:F,5,FALSE)</f>
        <v>Chennai Super Kings</v>
      </c>
    </row>
    <row r="21" spans="1:10" x14ac:dyDescent="0.3">
      <c r="A21" t="s">
        <v>22</v>
      </c>
      <c r="B21">
        <f>VLOOKUP(A21, '2025'!B:H, 2, FALSE)</f>
        <v>3000000</v>
      </c>
      <c r="C21">
        <f>IFERROR(VLOOKUP(A21,'2024'!B:G,4,FALSE),0)</f>
        <v>0</v>
      </c>
      <c r="D21">
        <f>IFERROR(VLOOKUP(A21,'2023'!B:G,4,FALSE),0)</f>
        <v>2000000</v>
      </c>
      <c r="E21">
        <f>IFERROR(VLOOKUP(A21,'2022'!B:G,4,FALSE),0)</f>
        <v>0</v>
      </c>
      <c r="F21" t="str">
        <f>IFERROR(VLOOKUP(A21,'2022'!B:G,3,FALSE),"Unknown")</f>
        <v>Unknown</v>
      </c>
      <c r="G21" t="str">
        <f>IFERROR(VLOOKUP(A21,'2023'!B:G,3,FALSE),"Unknown")</f>
        <v>Batter</v>
      </c>
      <c r="H21" t="str">
        <f>IFERROR(VLOOKUP(A21,'2024'!B:G,3,FALSE),"Unknown")</f>
        <v>Unknown</v>
      </c>
      <c r="I21" t="str">
        <f t="shared" si="0"/>
        <v>Batter</v>
      </c>
      <c r="J21" t="str">
        <f>VLOOKUP(A21,'2025'!B:F,5,FALSE)</f>
        <v>Chennai Super Kings</v>
      </c>
    </row>
    <row r="22" spans="1:10" x14ac:dyDescent="0.3">
      <c r="A22" t="s">
        <v>23</v>
      </c>
      <c r="B22">
        <f>VLOOKUP(A22, '2025'!B:H, 2, FALSE)</f>
        <v>20000000</v>
      </c>
      <c r="C22">
        <f>IFERROR(VLOOKUP(A22,'2024'!B:G,4,FALSE),0)</f>
        <v>0</v>
      </c>
      <c r="D22">
        <f>IFERROR(VLOOKUP(A22,'2023'!B:G,4,FALSE),0)</f>
        <v>0</v>
      </c>
      <c r="E22">
        <f>IFERROR(VLOOKUP(A22,'2022'!B:G,4,FALSE),0)</f>
        <v>0</v>
      </c>
      <c r="F22" t="str">
        <f>IFERROR(VLOOKUP(A22,'2022'!B:G,3,FALSE),"Unknown")</f>
        <v>Unknown</v>
      </c>
      <c r="G22" t="str">
        <f>IFERROR(VLOOKUP(A22,'2023'!B:G,3,FALSE),"Unknown")</f>
        <v>Unknown</v>
      </c>
      <c r="H22" t="str">
        <f>IFERROR(VLOOKUP(A22,'2024'!B:G,3,FALSE),"Unknown")</f>
        <v>Unknown</v>
      </c>
      <c r="I22" t="str">
        <f t="shared" si="0"/>
        <v>Unknown</v>
      </c>
      <c r="J22" t="str">
        <f>VLOOKUP(A22,'2025'!B:F,5,FALSE)</f>
        <v>Delhi Capitals</v>
      </c>
    </row>
    <row r="23" spans="1:10" x14ac:dyDescent="0.3">
      <c r="A23" t="s">
        <v>25</v>
      </c>
      <c r="B23">
        <f>VLOOKUP(A23, '2025'!B:H, 2, FALSE)</f>
        <v>20000000</v>
      </c>
      <c r="C23">
        <f>IFERROR(VLOOKUP(A23,'2024'!B:G,4,FALSE),0)</f>
        <v>247500000</v>
      </c>
      <c r="D23">
        <f>IFERROR(VLOOKUP(A23,'2023'!B:G,4,FALSE),0)</f>
        <v>0</v>
      </c>
      <c r="E23">
        <f>IFERROR(VLOOKUP(A23,'2022'!B:G,4,FALSE),0)</f>
        <v>0</v>
      </c>
      <c r="F23" t="str">
        <f>IFERROR(VLOOKUP(A23,'2022'!B:G,3,FALSE),"Unknown")</f>
        <v>Unknown</v>
      </c>
      <c r="G23" t="str">
        <f>IFERROR(VLOOKUP(A23,'2023'!B:G,3,FALSE),"Unknown")</f>
        <v>Unknown</v>
      </c>
      <c r="H23" t="str">
        <f>IFERROR(VLOOKUP(A23,'2024'!B:G,3,FALSE),"Unknown")</f>
        <v>Bowler</v>
      </c>
      <c r="I23" t="str">
        <f>IF(F23&lt;&gt;"Unknown",F23,IF(G23&lt;&gt;"Unknown",G23,H23))</f>
        <v>Bowler</v>
      </c>
      <c r="J23" t="str">
        <f>VLOOKUP(A23,'2025'!B:F,5,FALSE)</f>
        <v>Delhi Capitals</v>
      </c>
    </row>
    <row r="24" spans="1:10" x14ac:dyDescent="0.3">
      <c r="A24" t="s">
        <v>26</v>
      </c>
      <c r="B24">
        <f>VLOOKUP(A24, '2025'!B:H, 2, FALSE)</f>
        <v>20000000</v>
      </c>
      <c r="C24">
        <f>IFERROR(VLOOKUP(A24,'2024'!B:G,4,FALSE),0)</f>
        <v>0</v>
      </c>
      <c r="D24">
        <f>IFERROR(VLOOKUP(A24,'2023'!B:G,4,FALSE),0)</f>
        <v>0</v>
      </c>
      <c r="E24">
        <f>IFERROR(VLOOKUP(A24,'2022'!B:G,4,FALSE),0)</f>
        <v>40000000</v>
      </c>
      <c r="F24" t="str">
        <f>IFERROR(VLOOKUP(A24,'2022'!B:G,3,FALSE),"Unknown")</f>
        <v>Bowler</v>
      </c>
      <c r="G24" t="str">
        <f>IFERROR(VLOOKUP(A24,'2023'!B:G,3,FALSE),"Unknown")</f>
        <v>Unknown</v>
      </c>
      <c r="H24" t="str">
        <f>IFERROR(VLOOKUP(A24,'2024'!B:G,3,FALSE),"Unknown")</f>
        <v>Unknown</v>
      </c>
      <c r="I24" t="str">
        <f t="shared" si="0"/>
        <v>Bowler</v>
      </c>
      <c r="J24" t="str">
        <f>VLOOKUP(A24,'2025'!B:F,5,FALSE)</f>
        <v>Delhi Capitals</v>
      </c>
    </row>
    <row r="25" spans="1:10" x14ac:dyDescent="0.3">
      <c r="A25" t="s">
        <v>27</v>
      </c>
      <c r="B25">
        <f>VLOOKUP(A25, '2025'!B:H, 2, FALSE)</f>
        <v>20000000</v>
      </c>
      <c r="C25">
        <f>IFERROR(VLOOKUP(A25,'2024'!B:G,4,FALSE),0)</f>
        <v>0</v>
      </c>
      <c r="D25">
        <f>IFERROR(VLOOKUP(A25,'2023'!B:G,4,FALSE),0)</f>
        <v>0</v>
      </c>
      <c r="E25">
        <f>IFERROR(VLOOKUP(A25,'2022'!B:G,4,FALSE),0)</f>
        <v>0</v>
      </c>
      <c r="F25" t="str">
        <f>IFERROR(VLOOKUP(A25,'2022'!B:G,3,FALSE),"Unknown")</f>
        <v>Unknown</v>
      </c>
      <c r="G25" t="str">
        <f>IFERROR(VLOOKUP(A25,'2023'!B:G,3,FALSE),"Unknown")</f>
        <v>Unknown</v>
      </c>
      <c r="H25" t="str">
        <f>IFERROR(VLOOKUP(A25,'2024'!B:G,3,FALSE),"Unknown")</f>
        <v>Unknown</v>
      </c>
      <c r="I25" t="str">
        <f t="shared" si="0"/>
        <v>Unknown</v>
      </c>
      <c r="J25" t="str">
        <f>VLOOKUP(A25,'2025'!B:F,5,FALSE)</f>
        <v>Delhi Capitals</v>
      </c>
    </row>
    <row r="26" spans="1:10" x14ac:dyDescent="0.3">
      <c r="A26" t="s">
        <v>28</v>
      </c>
      <c r="B26">
        <f>VLOOKUP(A26, '2025'!B:H, 2, FALSE)</f>
        <v>20000000</v>
      </c>
      <c r="C26">
        <f>IFERROR(VLOOKUP(A26,'2024'!B:G,4,FALSE),0)</f>
        <v>0</v>
      </c>
      <c r="D26">
        <f>IFERROR(VLOOKUP(A26,'2023'!B:G,4,FALSE),0)</f>
        <v>55000000</v>
      </c>
      <c r="E26">
        <f>IFERROR(VLOOKUP(A26,'2022'!B:G,4,FALSE),0)</f>
        <v>0</v>
      </c>
      <c r="F26" t="str">
        <f>IFERROR(VLOOKUP(A26,'2022'!B:G,3,FALSE),"Unknown")</f>
        <v>Unknown</v>
      </c>
      <c r="G26" t="str">
        <f>IFERROR(VLOOKUP(A26,'2023'!B:G,3,FALSE),"Unknown")</f>
        <v>Bowler</v>
      </c>
      <c r="H26" t="str">
        <f>IFERROR(VLOOKUP(A26,'2024'!B:G,3,FALSE),"Unknown")</f>
        <v>Unknown</v>
      </c>
      <c r="I26" t="str">
        <f t="shared" si="0"/>
        <v>Bowler</v>
      </c>
      <c r="J26" t="str">
        <f>VLOOKUP(A26,'2025'!B:F,5,FALSE)</f>
        <v>Delhi Capitals</v>
      </c>
    </row>
    <row r="27" spans="1:10" x14ac:dyDescent="0.3">
      <c r="A27" t="s">
        <v>29</v>
      </c>
      <c r="B27">
        <f>VLOOKUP(A27, '2025'!B:H, 2, FALSE)</f>
        <v>20000000</v>
      </c>
      <c r="C27">
        <f>IFERROR(VLOOKUP(A27,'2024'!B:G,4,FALSE),0)</f>
        <v>40000000</v>
      </c>
      <c r="D27">
        <f>IFERROR(VLOOKUP(A27,'2023'!B:G,4,FALSE),0)</f>
        <v>132500000</v>
      </c>
      <c r="E27">
        <f>IFERROR(VLOOKUP(A27,'2022'!B:G,4,FALSE),0)</f>
        <v>0</v>
      </c>
      <c r="F27" t="str">
        <f>IFERROR(VLOOKUP(A27,'2022'!B:G,3,FALSE),"Unknown")</f>
        <v>Unknown</v>
      </c>
      <c r="G27" t="str">
        <f>IFERROR(VLOOKUP(A27,'2023'!B:G,3,FALSE),"Unknown")</f>
        <v>Batter</v>
      </c>
      <c r="H27" t="str">
        <f>IFERROR(VLOOKUP(A27,'2024'!B:G,3,FALSE),"Unknown")</f>
        <v>Batter</v>
      </c>
      <c r="I27" t="str">
        <f>IF(F27&lt;&gt;"Unknown",F27,IF(G27&lt;&gt;"Unknown",G27,H27))</f>
        <v>Batter</v>
      </c>
      <c r="J27" t="str">
        <f>VLOOKUP(A27,'2025'!B:F,5,FALSE)</f>
        <v>Delhi Capitals</v>
      </c>
    </row>
    <row r="28" spans="1:10" x14ac:dyDescent="0.3">
      <c r="A28" t="s">
        <v>30</v>
      </c>
      <c r="B28">
        <f>VLOOKUP(A28, '2025'!B:H, 2, FALSE)</f>
        <v>3000000</v>
      </c>
      <c r="C28">
        <f>IFERROR(VLOOKUP(A28,'2024'!B:G,4,FALSE),0)</f>
        <v>2000000</v>
      </c>
      <c r="D28">
        <f>IFERROR(VLOOKUP(A28,'2023'!B:G,4,FALSE),0)</f>
        <v>0</v>
      </c>
      <c r="E28">
        <f>IFERROR(VLOOKUP(A28,'2022'!B:G,4,FALSE),0)</f>
        <v>0</v>
      </c>
      <c r="F28" t="str">
        <f>IFERROR(VLOOKUP(A28,'2022'!B:G,3,FALSE),"Unknown")</f>
        <v>Unknown</v>
      </c>
      <c r="G28" t="str">
        <f>IFERROR(VLOOKUP(A28,'2023'!B:G,3,FALSE),"Unknown")</f>
        <v>Unknown</v>
      </c>
      <c r="H28" t="str">
        <f>IFERROR(VLOOKUP(A28,'2024'!B:G,3,FALSE),"Unknown")</f>
        <v>All-Rounder</v>
      </c>
      <c r="I28" t="str">
        <f t="shared" si="0"/>
        <v>All-Rounder</v>
      </c>
      <c r="J28" t="str">
        <f>VLOOKUP(A28,'2025'!B:F,5,FALSE)</f>
        <v>Delhi Capitals</v>
      </c>
    </row>
    <row r="29" spans="1:10" x14ac:dyDescent="0.3">
      <c r="A29" t="s">
        <v>31</v>
      </c>
      <c r="B29">
        <f>VLOOKUP(A29, '2025'!B:H, 2, FALSE)</f>
        <v>5000000</v>
      </c>
      <c r="C29">
        <f>IFERROR(VLOOKUP(A29,'2024'!B:G,4,FALSE),0)</f>
        <v>0</v>
      </c>
      <c r="D29">
        <f>IFERROR(VLOOKUP(A29,'2023'!B:G,4,FALSE),0)</f>
        <v>5000000</v>
      </c>
      <c r="E29">
        <f>IFERROR(VLOOKUP(A29,'2022'!B:G,4,FALSE),0)</f>
        <v>0</v>
      </c>
      <c r="F29" t="str">
        <f>IFERROR(VLOOKUP(A29,'2022'!B:G,3,FALSE),"Unknown")</f>
        <v>Unknown</v>
      </c>
      <c r="G29" t="str">
        <f>IFERROR(VLOOKUP(A29,'2023'!B:G,3,FALSE),"Unknown")</f>
        <v>Bowler</v>
      </c>
      <c r="H29" t="str">
        <f>IFERROR(VLOOKUP(A29,'2024'!B:G,3,FALSE),"Unknown")</f>
        <v>Unknown</v>
      </c>
      <c r="I29" t="str">
        <f t="shared" si="0"/>
        <v>Bowler</v>
      </c>
      <c r="J29" t="str">
        <f>VLOOKUP(A29,'2025'!B:F,5,FALSE)</f>
        <v>Delhi Capitals</v>
      </c>
    </row>
    <row r="30" spans="1:10" x14ac:dyDescent="0.3">
      <c r="A30" t="s">
        <v>32</v>
      </c>
      <c r="B30">
        <f>VLOOKUP(A30, '2025'!B:H, 2, FALSE)</f>
        <v>20000000</v>
      </c>
      <c r="C30">
        <f>IFERROR(VLOOKUP(A30,'2024'!B:G,4,FALSE),0)</f>
        <v>0</v>
      </c>
      <c r="D30">
        <f>IFERROR(VLOOKUP(A30,'2023'!B:G,4,FALSE),0)</f>
        <v>0</v>
      </c>
      <c r="E30">
        <f>IFERROR(VLOOKUP(A30,'2022'!B:G,4,FALSE),0)</f>
        <v>70000000</v>
      </c>
      <c r="F30" t="str">
        <f>IFERROR(VLOOKUP(A30,'2022'!B:G,3,FALSE),"Unknown")</f>
        <v>Batsman</v>
      </c>
      <c r="G30" t="str">
        <f>IFERROR(VLOOKUP(A30,'2023'!B:G,3,FALSE),"Unknown")</f>
        <v>Unknown</v>
      </c>
      <c r="H30" t="str">
        <f>IFERROR(VLOOKUP(A30,'2024'!B:G,3,FALSE),"Unknown")</f>
        <v>Unknown</v>
      </c>
      <c r="I30" t="str">
        <f t="shared" si="0"/>
        <v>Batsman</v>
      </c>
      <c r="J30" t="str">
        <f>VLOOKUP(A30,'2025'!B:F,5,FALSE)</f>
        <v>Delhi Capitals</v>
      </c>
    </row>
    <row r="31" spans="1:10" x14ac:dyDescent="0.3">
      <c r="A31" t="s">
        <v>33</v>
      </c>
      <c r="B31">
        <f>VLOOKUP(A31, '2025'!B:H, 2, FALSE)</f>
        <v>3000000</v>
      </c>
      <c r="C31">
        <f>IFERROR(VLOOKUP(A31,'2024'!B:G,4,FALSE),0)</f>
        <v>84000000</v>
      </c>
      <c r="D31">
        <f>IFERROR(VLOOKUP(A31,'2023'!B:G,4,FALSE),0)</f>
        <v>0</v>
      </c>
      <c r="E31">
        <f>IFERROR(VLOOKUP(A31,'2022'!B:G,4,FALSE),0)</f>
        <v>0</v>
      </c>
      <c r="F31" t="str">
        <f>IFERROR(VLOOKUP(A31,'2022'!B:G,3,FALSE),"Unknown")</f>
        <v>Unknown</v>
      </c>
      <c r="G31" t="str">
        <f>IFERROR(VLOOKUP(A31,'2023'!B:G,3,FALSE),"Unknown")</f>
        <v>Unknown</v>
      </c>
      <c r="H31" t="str">
        <f>IFERROR(VLOOKUP(A31,'2024'!B:G,3,FALSE),"Unknown")</f>
        <v>Batter</v>
      </c>
      <c r="I31" t="str">
        <f>IF(F31&lt;&gt;"Unknown",F31,IF(G31&lt;&gt;"Unknown",G31,H31))</f>
        <v>Batter</v>
      </c>
      <c r="J31" t="str">
        <f>VLOOKUP(A31,'2025'!B:F,5,FALSE)</f>
        <v>Delhi Capitals</v>
      </c>
    </row>
    <row r="32" spans="1:10" x14ac:dyDescent="0.3">
      <c r="A32" t="s">
        <v>34</v>
      </c>
      <c r="B32">
        <f>VLOOKUP(A32, '2025'!B:H, 2, FALSE)</f>
        <v>7500000</v>
      </c>
      <c r="C32">
        <f>IFERROR(VLOOKUP(A32,'2024'!B:G,4,FALSE),0)</f>
        <v>0</v>
      </c>
      <c r="D32">
        <f>IFERROR(VLOOKUP(A32,'2023'!B:G,4,FALSE),0)</f>
        <v>5000000</v>
      </c>
      <c r="E32">
        <f>IFERROR(VLOOKUP(A32,'2022'!B:G,4,FALSE),0)</f>
        <v>0</v>
      </c>
      <c r="F32" t="str">
        <f>IFERROR(VLOOKUP(A32,'2022'!B:G,3,FALSE),"Unknown")</f>
        <v>Unknown</v>
      </c>
      <c r="G32" t="str">
        <f>IFERROR(VLOOKUP(A32,'2023'!B:G,3,FALSE),"Unknown")</f>
        <v>Wicket-Keeper</v>
      </c>
      <c r="H32" t="str">
        <f>IFERROR(VLOOKUP(A32,'2024'!B:G,3,FALSE),"Unknown")</f>
        <v>Unknown</v>
      </c>
      <c r="I32" t="str">
        <f t="shared" ref="I32:I95" si="1">IF(F32&lt;&gt;"Unknown",F32,IF(G32&lt;&gt;"Unknown",G32,H32))</f>
        <v>Wicket-Keeper</v>
      </c>
      <c r="J32" t="str">
        <f>VLOOKUP(A32,'2025'!B:F,5,FALSE)</f>
        <v>Delhi Capitals</v>
      </c>
    </row>
    <row r="33" spans="1:10" x14ac:dyDescent="0.3">
      <c r="A33" t="s">
        <v>35</v>
      </c>
      <c r="B33">
        <f>VLOOKUP(A33, '2025'!B:H, 2, FALSE)</f>
        <v>7500000</v>
      </c>
      <c r="C33">
        <f>IFERROR(VLOOKUP(A33,'2024'!B:G,4,FALSE),0)</f>
        <v>0</v>
      </c>
      <c r="D33">
        <f>IFERROR(VLOOKUP(A33,'2023'!B:G,4,FALSE),0)</f>
        <v>0</v>
      </c>
      <c r="E33">
        <f>IFERROR(VLOOKUP(A33,'2022'!B:G,4,FALSE),0)</f>
        <v>0</v>
      </c>
      <c r="F33" t="str">
        <f>IFERROR(VLOOKUP(A33,'2022'!B:G,3,FALSE),"Unknown")</f>
        <v>Unknown</v>
      </c>
      <c r="G33" t="str">
        <f>IFERROR(VLOOKUP(A33,'2023'!B:G,3,FALSE),"Unknown")</f>
        <v>Unknown</v>
      </c>
      <c r="H33" t="str">
        <f>IFERROR(VLOOKUP(A33,'2024'!B:G,3,FALSE),"Unknown")</f>
        <v>Unknown</v>
      </c>
      <c r="I33" t="str">
        <f t="shared" si="1"/>
        <v>Unknown</v>
      </c>
      <c r="J33" t="str">
        <f>VLOOKUP(A33,'2025'!B:F,5,FALSE)</f>
        <v>Delhi Capitals</v>
      </c>
    </row>
    <row r="34" spans="1:10" x14ac:dyDescent="0.3">
      <c r="A34" t="s">
        <v>36</v>
      </c>
      <c r="B34">
        <f>VLOOKUP(A34, '2025'!B:H, 2, FALSE)</f>
        <v>3000000</v>
      </c>
      <c r="C34">
        <f>IFERROR(VLOOKUP(A34,'2024'!B:G,4,FALSE),0)</f>
        <v>0</v>
      </c>
      <c r="D34">
        <f>IFERROR(VLOOKUP(A34,'2023'!B:G,4,FALSE),0)</f>
        <v>0</v>
      </c>
      <c r="E34">
        <f>IFERROR(VLOOKUP(A34,'2022'!B:G,4,FALSE),0)</f>
        <v>0</v>
      </c>
      <c r="F34" t="str">
        <f>IFERROR(VLOOKUP(A34,'2022'!B:G,3,FALSE),"Unknown")</f>
        <v>Unknown</v>
      </c>
      <c r="G34" t="str">
        <f>IFERROR(VLOOKUP(A34,'2023'!B:G,3,FALSE),"Unknown")</f>
        <v>Unknown</v>
      </c>
      <c r="H34" t="str">
        <f>IFERROR(VLOOKUP(A34,'2024'!B:G,3,FALSE),"Unknown")</f>
        <v>Unknown</v>
      </c>
      <c r="I34" t="str">
        <f t="shared" si="1"/>
        <v>Unknown</v>
      </c>
      <c r="J34" t="str">
        <f>VLOOKUP(A34,'2025'!B:F,5,FALSE)</f>
        <v>Delhi Capitals</v>
      </c>
    </row>
    <row r="35" spans="1:10" x14ac:dyDescent="0.3">
      <c r="A35" t="s">
        <v>37</v>
      </c>
      <c r="B35">
        <f>VLOOKUP(A35, '2025'!B:H, 2, FALSE)</f>
        <v>3000000</v>
      </c>
      <c r="C35">
        <f>IFERROR(VLOOKUP(A35,'2024'!B:G,4,FALSE),0)</f>
        <v>0</v>
      </c>
      <c r="D35">
        <f>IFERROR(VLOOKUP(A35,'2023'!B:G,4,FALSE),0)</f>
        <v>0</v>
      </c>
      <c r="E35">
        <f>IFERROR(VLOOKUP(A35,'2022'!B:G,4,FALSE),0)</f>
        <v>14000000</v>
      </c>
      <c r="F35" t="str">
        <f>IFERROR(VLOOKUP(A35,'2022'!B:G,3,FALSE),"Unknown")</f>
        <v>Batsman</v>
      </c>
      <c r="G35" t="str">
        <f>IFERROR(VLOOKUP(A35,'2023'!B:G,3,FALSE),"Unknown")</f>
        <v>Unknown</v>
      </c>
      <c r="H35" t="str">
        <f>IFERROR(VLOOKUP(A35,'2024'!B:G,3,FALSE),"Unknown")</f>
        <v>Unknown</v>
      </c>
      <c r="I35" t="str">
        <f t="shared" si="1"/>
        <v>Batsman</v>
      </c>
      <c r="J35" t="str">
        <f>VLOOKUP(A35,'2025'!B:F,5,FALSE)</f>
        <v>Delhi Capitals</v>
      </c>
    </row>
    <row r="36" spans="1:10" x14ac:dyDescent="0.3">
      <c r="A36" t="s">
        <v>38</v>
      </c>
      <c r="B36">
        <f>VLOOKUP(A36, '2025'!B:H, 2, FALSE)</f>
        <v>3000000</v>
      </c>
      <c r="C36">
        <f>IFERROR(VLOOKUP(A36,'2024'!B:G,4,FALSE),0)</f>
        <v>0</v>
      </c>
      <c r="D36">
        <f>IFERROR(VLOOKUP(A36,'2023'!B:G,4,FALSE),0)</f>
        <v>0</v>
      </c>
      <c r="E36">
        <f>IFERROR(VLOOKUP(A36,'2022'!B:G,4,FALSE),0)</f>
        <v>0</v>
      </c>
      <c r="F36" t="str">
        <f>IFERROR(VLOOKUP(A36,'2022'!B:G,3,FALSE),"Unknown")</f>
        <v>Unknown</v>
      </c>
      <c r="G36" t="str">
        <f>IFERROR(VLOOKUP(A36,'2023'!B:G,3,FALSE),"Unknown")</f>
        <v>Unknown</v>
      </c>
      <c r="H36" t="str">
        <f>IFERROR(VLOOKUP(A36,'2024'!B:G,3,FALSE),"Unknown")</f>
        <v>Unknown</v>
      </c>
      <c r="I36" t="str">
        <f t="shared" si="1"/>
        <v>Unknown</v>
      </c>
      <c r="J36" t="str">
        <f>VLOOKUP(A36,'2025'!B:F,5,FALSE)</f>
        <v>Delhi Capitals</v>
      </c>
    </row>
    <row r="37" spans="1:10" x14ac:dyDescent="0.3">
      <c r="A37" t="s">
        <v>39</v>
      </c>
      <c r="B37">
        <f>VLOOKUP(A37, '2025'!B:H, 2, FALSE)</f>
        <v>3000000</v>
      </c>
      <c r="C37">
        <f>IFERROR(VLOOKUP(A37,'2024'!B:G,4,FALSE),0)</f>
        <v>0</v>
      </c>
      <c r="D37">
        <f>IFERROR(VLOOKUP(A37,'2023'!B:G,4,FALSE),0)</f>
        <v>0</v>
      </c>
      <c r="E37">
        <f>IFERROR(VLOOKUP(A37,'2022'!B:G,4,FALSE),0)</f>
        <v>0</v>
      </c>
      <c r="F37" t="str">
        <f>IFERROR(VLOOKUP(A37,'2022'!B:G,3,FALSE),"Unknown")</f>
        <v>Unknown</v>
      </c>
      <c r="G37" t="str">
        <f>IFERROR(VLOOKUP(A37,'2023'!B:G,3,FALSE),"Unknown")</f>
        <v>Unknown</v>
      </c>
      <c r="H37" t="str">
        <f>IFERROR(VLOOKUP(A37,'2024'!B:G,3,FALSE),"Unknown")</f>
        <v>Unknown</v>
      </c>
      <c r="I37" t="str">
        <f t="shared" si="1"/>
        <v>Unknown</v>
      </c>
      <c r="J37" t="str">
        <f>VLOOKUP(A37,'2025'!B:F,5,FALSE)</f>
        <v>Delhi Capitals</v>
      </c>
    </row>
    <row r="38" spans="1:10" x14ac:dyDescent="0.3">
      <c r="A38" t="s">
        <v>40</v>
      </c>
      <c r="B38">
        <f>VLOOKUP(A38, '2025'!B:H, 2, FALSE)</f>
        <v>3000000</v>
      </c>
      <c r="C38">
        <f>IFERROR(VLOOKUP(A38,'2024'!B:G,4,FALSE),0)</f>
        <v>0</v>
      </c>
      <c r="D38">
        <f>IFERROR(VLOOKUP(A38,'2023'!B:G,4,FALSE),0)</f>
        <v>0</v>
      </c>
      <c r="E38">
        <f>IFERROR(VLOOKUP(A38,'2022'!B:G,4,FALSE),0)</f>
        <v>0</v>
      </c>
      <c r="F38" t="str">
        <f>IFERROR(VLOOKUP(A38,'2022'!B:G,3,FALSE),"Unknown")</f>
        <v>Unknown</v>
      </c>
      <c r="G38" t="str">
        <f>IFERROR(VLOOKUP(A38,'2023'!B:G,3,FALSE),"Unknown")</f>
        <v>Unknown</v>
      </c>
      <c r="H38" t="str">
        <f>IFERROR(VLOOKUP(A38,'2024'!B:G,3,FALSE),"Unknown")</f>
        <v>Unknown</v>
      </c>
      <c r="I38" t="str">
        <f t="shared" si="1"/>
        <v>Unknown</v>
      </c>
      <c r="J38" t="str">
        <f>VLOOKUP(A38,'2025'!B:F,5,FALSE)</f>
        <v>Delhi Capitals</v>
      </c>
    </row>
    <row r="39" spans="1:10" x14ac:dyDescent="0.3">
      <c r="A39" t="s">
        <v>41</v>
      </c>
      <c r="B39">
        <f>VLOOKUP(A39, '2025'!B:H, 2, FALSE)</f>
        <v>3000000</v>
      </c>
      <c r="C39">
        <f>IFERROR(VLOOKUP(A39,'2024'!B:G,4,FALSE),0)</f>
        <v>0</v>
      </c>
      <c r="D39">
        <f>IFERROR(VLOOKUP(A39,'2023'!B:G,4,FALSE),0)</f>
        <v>2000000</v>
      </c>
      <c r="E39">
        <f>IFERROR(VLOOKUP(A39,'2022'!B:G,4,FALSE),0)</f>
        <v>0</v>
      </c>
      <c r="F39" t="str">
        <f>IFERROR(VLOOKUP(A39,'2022'!B:G,3,FALSE),"Unknown")</f>
        <v>Unknown</v>
      </c>
      <c r="G39" t="str">
        <f>IFERROR(VLOOKUP(A39,'2023'!B:G,3,FALSE),"Unknown")</f>
        <v>All-Rounder</v>
      </c>
      <c r="H39" t="str">
        <f>IFERROR(VLOOKUP(A39,'2024'!B:G,3,FALSE),"Unknown")</f>
        <v>Unknown</v>
      </c>
      <c r="I39" t="str">
        <f t="shared" si="1"/>
        <v>All-Rounder</v>
      </c>
      <c r="J39" t="str">
        <f>VLOOKUP(A39,'2025'!B:F,5,FALSE)</f>
        <v>Delhi Capitals</v>
      </c>
    </row>
    <row r="40" spans="1:10" x14ac:dyDescent="0.3">
      <c r="A40" t="s">
        <v>42</v>
      </c>
      <c r="B40">
        <f>VLOOKUP(A40, '2025'!B:H, 2, FALSE)</f>
        <v>3000000</v>
      </c>
      <c r="C40">
        <f>IFERROR(VLOOKUP(A40,'2024'!B:G,4,FALSE),0)</f>
        <v>0</v>
      </c>
      <c r="D40">
        <f>IFERROR(VLOOKUP(A40,'2023'!B:G,4,FALSE),0)</f>
        <v>0</v>
      </c>
      <c r="E40">
        <f>IFERROR(VLOOKUP(A40,'2022'!B:G,4,FALSE),0)</f>
        <v>2000000</v>
      </c>
      <c r="F40" t="str">
        <f>IFERROR(VLOOKUP(A40,'2022'!B:G,3,FALSE),"Unknown")</f>
        <v>All-Rounder</v>
      </c>
      <c r="G40" t="str">
        <f>IFERROR(VLOOKUP(A40,'2023'!B:G,3,FALSE),"Unknown")</f>
        <v>Unknown</v>
      </c>
      <c r="H40" t="str">
        <f>IFERROR(VLOOKUP(A40,'2024'!B:G,3,FALSE),"Unknown")</f>
        <v>Unknown</v>
      </c>
      <c r="I40" t="str">
        <f t="shared" si="1"/>
        <v>All-Rounder</v>
      </c>
      <c r="J40" t="str">
        <f>VLOOKUP(A40,'2025'!B:F,5,FALSE)</f>
        <v>Delhi Capitals</v>
      </c>
    </row>
    <row r="41" spans="1:10" x14ac:dyDescent="0.3">
      <c r="A41" t="s">
        <v>43</v>
      </c>
      <c r="B41">
        <f>VLOOKUP(A41, '2025'!B:H, 2, FALSE)</f>
        <v>20000000</v>
      </c>
      <c r="C41">
        <f>IFERROR(VLOOKUP(A41,'2024'!B:G,4,FALSE),0)</f>
        <v>0</v>
      </c>
      <c r="D41">
        <f>IFERROR(VLOOKUP(A41,'2023'!B:G,4,FALSE),0)</f>
        <v>0</v>
      </c>
      <c r="E41">
        <f>IFERROR(VLOOKUP(A41,'2022'!B:G,4,FALSE),0)</f>
        <v>0</v>
      </c>
      <c r="F41" t="str">
        <f>IFERROR(VLOOKUP(A41,'2022'!B:G,3,FALSE),"Unknown")</f>
        <v>Unknown</v>
      </c>
      <c r="G41" t="str">
        <f>IFERROR(VLOOKUP(A41,'2023'!B:G,3,FALSE),"Unknown")</f>
        <v>Unknown</v>
      </c>
      <c r="H41" t="str">
        <f>IFERROR(VLOOKUP(A41,'2024'!B:G,3,FALSE),"Unknown")</f>
        <v>Unknown</v>
      </c>
      <c r="I41" t="str">
        <f t="shared" si="1"/>
        <v>Unknown</v>
      </c>
      <c r="J41" t="str">
        <f>VLOOKUP(A41,'2025'!B:F,5,FALSE)</f>
        <v>Gujarat Titans</v>
      </c>
    </row>
    <row r="42" spans="1:10" x14ac:dyDescent="0.3">
      <c r="A42" t="s">
        <v>45</v>
      </c>
      <c r="B42">
        <f>VLOOKUP(A42, '2025'!B:H, 2, FALSE)</f>
        <v>20000000</v>
      </c>
      <c r="C42">
        <f>IFERROR(VLOOKUP(A42,'2024'!B:G,4,FALSE),0)</f>
        <v>0</v>
      </c>
      <c r="D42">
        <f>IFERROR(VLOOKUP(A42,'2023'!B:G,4,FALSE),0)</f>
        <v>0</v>
      </c>
      <c r="E42">
        <f>IFERROR(VLOOKUP(A42,'2022'!B:G,4,FALSE),0)</f>
        <v>0</v>
      </c>
      <c r="F42" t="str">
        <f>IFERROR(VLOOKUP(A42,'2022'!B:G,3,FALSE),"Unknown")</f>
        <v>Unknown</v>
      </c>
      <c r="G42" t="str">
        <f>IFERROR(VLOOKUP(A42,'2023'!B:G,3,FALSE),"Unknown")</f>
        <v>Unknown</v>
      </c>
      <c r="H42" t="str">
        <f>IFERROR(VLOOKUP(A42,'2024'!B:G,3,FALSE),"Unknown")</f>
        <v>Unknown</v>
      </c>
      <c r="I42" t="str">
        <f t="shared" si="1"/>
        <v>Unknown</v>
      </c>
      <c r="J42" t="str">
        <f>VLOOKUP(A42,'2025'!B:F,5,FALSE)</f>
        <v>Gujarat Titans</v>
      </c>
    </row>
    <row r="43" spans="1:10" x14ac:dyDescent="0.3">
      <c r="A43" t="s">
        <v>46</v>
      </c>
      <c r="B43">
        <f>VLOOKUP(A43, '2025'!B:H, 2, FALSE)</f>
        <v>20000000</v>
      </c>
      <c r="C43">
        <f>IFERROR(VLOOKUP(A43,'2024'!B:G,4,FALSE),0)</f>
        <v>0</v>
      </c>
      <c r="D43">
        <f>IFERROR(VLOOKUP(A43,'2023'!B:G,4,FALSE),0)</f>
        <v>0</v>
      </c>
      <c r="E43">
        <f>IFERROR(VLOOKUP(A43,'2022'!B:G,4,FALSE),0)</f>
        <v>92500000</v>
      </c>
      <c r="F43" t="str">
        <f>IFERROR(VLOOKUP(A43,'2022'!B:G,3,FALSE),"Unknown")</f>
        <v>Bowler</v>
      </c>
      <c r="G43" t="str">
        <f>IFERROR(VLOOKUP(A43,'2023'!B:G,3,FALSE),"Unknown")</f>
        <v>Unknown</v>
      </c>
      <c r="H43" t="str">
        <f>IFERROR(VLOOKUP(A43,'2024'!B:G,3,FALSE),"Unknown")</f>
        <v>Unknown</v>
      </c>
      <c r="I43" t="str">
        <f t="shared" si="1"/>
        <v>Bowler</v>
      </c>
      <c r="J43" t="str">
        <f>VLOOKUP(A43,'2025'!B:F,5,FALSE)</f>
        <v>Gujarat Titans</v>
      </c>
    </row>
    <row r="44" spans="1:10" x14ac:dyDescent="0.3">
      <c r="A44" t="s">
        <v>47</v>
      </c>
      <c r="B44">
        <f>VLOOKUP(A44, '2025'!B:H, 2, FALSE)</f>
        <v>20000000</v>
      </c>
      <c r="C44">
        <f>IFERROR(VLOOKUP(A44,'2024'!B:G,4,FALSE),0)</f>
        <v>0</v>
      </c>
      <c r="D44">
        <f>IFERROR(VLOOKUP(A44,'2023'!B:G,4,FALSE),0)</f>
        <v>0</v>
      </c>
      <c r="E44">
        <f>IFERROR(VLOOKUP(A44,'2022'!B:G,4,FALSE),0)</f>
        <v>100000000</v>
      </c>
      <c r="F44" t="str">
        <f>IFERROR(VLOOKUP(A44,'2022'!B:G,3,FALSE),"Unknown")</f>
        <v>Bowler</v>
      </c>
      <c r="G44" t="str">
        <f>IFERROR(VLOOKUP(A44,'2023'!B:G,3,FALSE),"Unknown")</f>
        <v>Unknown</v>
      </c>
      <c r="H44" t="str">
        <f>IFERROR(VLOOKUP(A44,'2024'!B:G,3,FALSE),"Unknown")</f>
        <v>Unknown</v>
      </c>
      <c r="I44" t="str">
        <f t="shared" si="1"/>
        <v>Bowler</v>
      </c>
      <c r="J44" t="str">
        <f>VLOOKUP(A44,'2025'!B:F,5,FALSE)</f>
        <v>Gujarat Titans</v>
      </c>
    </row>
    <row r="45" spans="1:10" x14ac:dyDescent="0.3">
      <c r="A45" t="s">
        <v>48</v>
      </c>
      <c r="B45">
        <f>VLOOKUP(A45, '2025'!B:H, 2, FALSE)</f>
        <v>20000000</v>
      </c>
      <c r="C45">
        <f>IFERROR(VLOOKUP(A45,'2024'!B:G,4,FALSE),0)</f>
        <v>0</v>
      </c>
      <c r="D45">
        <f>IFERROR(VLOOKUP(A45,'2023'!B:G,4,FALSE),0)</f>
        <v>0</v>
      </c>
      <c r="E45">
        <f>IFERROR(VLOOKUP(A45,'2022'!B:G,4,FALSE),0)</f>
        <v>87500000</v>
      </c>
      <c r="F45" t="str">
        <f>IFERROR(VLOOKUP(A45,'2022'!B:G,3,FALSE),"Unknown")</f>
        <v>All-Rounder</v>
      </c>
      <c r="G45" t="str">
        <f>IFERROR(VLOOKUP(A45,'2023'!B:G,3,FALSE),"Unknown")</f>
        <v>Unknown</v>
      </c>
      <c r="H45" t="str">
        <f>IFERROR(VLOOKUP(A45,'2024'!B:G,3,FALSE),"Unknown")</f>
        <v>Unknown</v>
      </c>
      <c r="I45" t="str">
        <f t="shared" si="1"/>
        <v>All-Rounder</v>
      </c>
      <c r="J45" t="str">
        <f>VLOOKUP(A45,'2025'!B:F,5,FALSE)</f>
        <v>Gujarat Titans</v>
      </c>
    </row>
    <row r="46" spans="1:10" x14ac:dyDescent="0.3">
      <c r="A46" t="s">
        <v>49</v>
      </c>
      <c r="B46">
        <f>VLOOKUP(A46, '2025'!B:H, 2, FALSE)</f>
        <v>15000000</v>
      </c>
      <c r="C46">
        <f>IFERROR(VLOOKUP(A46,'2024'!B:G,4,FALSE),0)</f>
        <v>15000000</v>
      </c>
      <c r="D46">
        <f>IFERROR(VLOOKUP(A46,'2023'!B:G,4,FALSE),0)</f>
        <v>0</v>
      </c>
      <c r="E46">
        <f>IFERROR(VLOOKUP(A46,'2022'!B:G,4,FALSE),0)</f>
        <v>10000000</v>
      </c>
      <c r="F46" t="str">
        <f>IFERROR(VLOOKUP(A46,'2022'!B:G,3,FALSE),"Unknown")</f>
        <v>All-Rounder</v>
      </c>
      <c r="G46" t="str">
        <f>IFERROR(VLOOKUP(A46,'2023'!B:G,3,FALSE),"Unknown")</f>
        <v>Unknown</v>
      </c>
      <c r="H46" t="str">
        <f>IFERROR(VLOOKUP(A46,'2024'!B:G,3,FALSE),"Unknown")</f>
        <v>Batter</v>
      </c>
      <c r="I46" t="str">
        <f t="shared" si="1"/>
        <v>All-Rounder</v>
      </c>
      <c r="J46" t="str">
        <f>VLOOKUP(A46,'2025'!B:F,5,FALSE)</f>
        <v>Gujarat Titans</v>
      </c>
    </row>
    <row r="47" spans="1:10" x14ac:dyDescent="0.3">
      <c r="A47" t="s">
        <v>50</v>
      </c>
      <c r="B47">
        <f>VLOOKUP(A47, '2025'!B:H, 2, FALSE)</f>
        <v>12500000</v>
      </c>
      <c r="C47">
        <f>IFERROR(VLOOKUP(A47,'2024'!B:G,4,FALSE),0)</f>
        <v>50000000</v>
      </c>
      <c r="D47">
        <f>IFERROR(VLOOKUP(A47,'2023'!B:G,4,FALSE),0)</f>
        <v>0</v>
      </c>
      <c r="E47">
        <f>IFERROR(VLOOKUP(A47,'2022'!B:G,4,FALSE),0)</f>
        <v>0</v>
      </c>
      <c r="F47" t="str">
        <f>IFERROR(VLOOKUP(A47,'2022'!B:G,3,FALSE),"Unknown")</f>
        <v>Unknown</v>
      </c>
      <c r="G47" t="str">
        <f>IFERROR(VLOOKUP(A47,'2023'!B:G,3,FALSE),"Unknown")</f>
        <v>Unknown</v>
      </c>
      <c r="H47" t="str">
        <f>IFERROR(VLOOKUP(A47,'2024'!B:G,3,FALSE),"Unknown")</f>
        <v>All-Rounder</v>
      </c>
      <c r="I47" t="str">
        <f t="shared" si="1"/>
        <v>All-Rounder</v>
      </c>
      <c r="J47" t="str">
        <f>VLOOKUP(A47,'2025'!B:F,5,FALSE)</f>
        <v>Gujarat Titans</v>
      </c>
    </row>
    <row r="48" spans="1:10" x14ac:dyDescent="0.3">
      <c r="A48" t="s">
        <v>51</v>
      </c>
      <c r="B48">
        <f>VLOOKUP(A48, '2025'!B:H, 2, FALSE)</f>
        <v>20000000</v>
      </c>
      <c r="C48">
        <f>IFERROR(VLOOKUP(A48,'2024'!B:G,4,FALSE),0)</f>
        <v>0</v>
      </c>
      <c r="D48">
        <f>IFERROR(VLOOKUP(A48,'2023'!B:G,4,FALSE),0)</f>
        <v>0</v>
      </c>
      <c r="E48">
        <f>IFERROR(VLOOKUP(A48,'2022'!B:G,4,FALSE),0)</f>
        <v>15000000</v>
      </c>
      <c r="F48" t="str">
        <f>IFERROR(VLOOKUP(A48,'2022'!B:G,3,FALSE),"Unknown")</f>
        <v>Wicket Keeper</v>
      </c>
      <c r="G48" t="str">
        <f>IFERROR(VLOOKUP(A48,'2023'!B:G,3,FALSE),"Unknown")</f>
        <v>Unknown</v>
      </c>
      <c r="H48" t="str">
        <f>IFERROR(VLOOKUP(A48,'2024'!B:G,3,FALSE),"Unknown")</f>
        <v>Unknown</v>
      </c>
      <c r="I48" t="str">
        <f t="shared" si="1"/>
        <v>Wicket Keeper</v>
      </c>
      <c r="J48" t="str">
        <f>VLOOKUP(A48,'2025'!B:F,5,FALSE)</f>
        <v>Gujarat Titans</v>
      </c>
    </row>
    <row r="49" spans="1:10" x14ac:dyDescent="0.3">
      <c r="A49" t="s">
        <v>52</v>
      </c>
      <c r="B49">
        <f>VLOOKUP(A49, '2025'!B:H, 2, FALSE)</f>
        <v>7500000</v>
      </c>
      <c r="C49">
        <f>IFERROR(VLOOKUP(A49,'2024'!B:G,4,FALSE),0)</f>
        <v>0</v>
      </c>
      <c r="D49">
        <f>IFERROR(VLOOKUP(A49,'2023'!B:G,4,FALSE),0)</f>
        <v>0</v>
      </c>
      <c r="E49">
        <f>IFERROR(VLOOKUP(A49,'2022'!B:G,4,FALSE),0)</f>
        <v>30000000</v>
      </c>
      <c r="F49" t="str">
        <f>IFERROR(VLOOKUP(A49,'2022'!B:G,3,FALSE),"Unknown")</f>
        <v>Bowler</v>
      </c>
      <c r="G49" t="str">
        <f>IFERROR(VLOOKUP(A49,'2023'!B:G,3,FALSE),"Unknown")</f>
        <v>Unknown</v>
      </c>
      <c r="H49" t="str">
        <f>IFERROR(VLOOKUP(A49,'2024'!B:G,3,FALSE),"Unknown")</f>
        <v>Unknown</v>
      </c>
      <c r="I49" t="str">
        <f t="shared" si="1"/>
        <v>Bowler</v>
      </c>
      <c r="J49" t="str">
        <f>VLOOKUP(A49,'2025'!B:F,5,FALSE)</f>
        <v>Gujarat Titans</v>
      </c>
    </row>
    <row r="50" spans="1:10" x14ac:dyDescent="0.3">
      <c r="A50" t="s">
        <v>53</v>
      </c>
      <c r="B50">
        <f>VLOOKUP(A50, '2025'!B:H, 2, FALSE)</f>
        <v>5000000</v>
      </c>
      <c r="C50">
        <f>IFERROR(VLOOKUP(A50,'2024'!B:G,4,FALSE),0)</f>
        <v>0</v>
      </c>
      <c r="D50">
        <f>IFERROR(VLOOKUP(A50,'2023'!B:G,4,FALSE),0)</f>
        <v>0</v>
      </c>
      <c r="E50">
        <f>IFERROR(VLOOKUP(A50,'2022'!B:G,4,FALSE),0)</f>
        <v>9500000</v>
      </c>
      <c r="F50" t="str">
        <f>IFERROR(VLOOKUP(A50,'2022'!B:G,3,FALSE),"Unknown")</f>
        <v>All-Rounder</v>
      </c>
      <c r="G50" t="str">
        <f>IFERROR(VLOOKUP(A50,'2023'!B:G,3,FALSE),"Unknown")</f>
        <v>Unknown</v>
      </c>
      <c r="H50" t="str">
        <f>IFERROR(VLOOKUP(A50,'2024'!B:G,3,FALSE),"Unknown")</f>
        <v>Unknown</v>
      </c>
      <c r="I50" t="str">
        <f t="shared" si="1"/>
        <v>All-Rounder</v>
      </c>
      <c r="J50" t="str">
        <f>VLOOKUP(A50,'2025'!B:F,5,FALSE)</f>
        <v>Gujarat Titans</v>
      </c>
    </row>
    <row r="51" spans="1:10" x14ac:dyDescent="0.3">
      <c r="A51" t="s">
        <v>54</v>
      </c>
      <c r="B51">
        <f>VLOOKUP(A51, '2025'!B:H, 2, FALSE)</f>
        <v>3000000</v>
      </c>
      <c r="C51">
        <f>IFERROR(VLOOKUP(A51,'2024'!B:G,4,FALSE),0)</f>
        <v>0</v>
      </c>
      <c r="D51">
        <f>IFERROR(VLOOKUP(A51,'2023'!B:G,4,FALSE),0)</f>
        <v>0</v>
      </c>
      <c r="E51">
        <f>IFERROR(VLOOKUP(A51,'2022'!B:G,4,FALSE),0)</f>
        <v>0</v>
      </c>
      <c r="F51" t="str">
        <f>IFERROR(VLOOKUP(A51,'2022'!B:G,3,FALSE),"Unknown")</f>
        <v>Unknown</v>
      </c>
      <c r="G51" t="str">
        <f>IFERROR(VLOOKUP(A51,'2023'!B:G,3,FALSE),"Unknown")</f>
        <v>Unknown</v>
      </c>
      <c r="H51" t="str">
        <f>IFERROR(VLOOKUP(A51,'2024'!B:G,3,FALSE),"Unknown")</f>
        <v>Unknown</v>
      </c>
      <c r="I51" t="str">
        <f t="shared" si="1"/>
        <v>Unknown</v>
      </c>
      <c r="J51" t="str">
        <f>VLOOKUP(A51,'2025'!B:F,5,FALSE)</f>
        <v>Gujarat Titans</v>
      </c>
    </row>
    <row r="52" spans="1:10" x14ac:dyDescent="0.3">
      <c r="A52" t="s">
        <v>55</v>
      </c>
      <c r="B52">
        <f>VLOOKUP(A52, '2025'!B:H, 2, FALSE)</f>
        <v>3000000</v>
      </c>
      <c r="C52">
        <f>IFERROR(VLOOKUP(A52,'2024'!B:G,4,FALSE),0)</f>
        <v>2000000</v>
      </c>
      <c r="D52">
        <f>IFERROR(VLOOKUP(A52,'2023'!B:G,4,FALSE),0)</f>
        <v>0</v>
      </c>
      <c r="E52">
        <f>IFERROR(VLOOKUP(A52,'2022'!B:G,4,FALSE),0)</f>
        <v>2000000</v>
      </c>
      <c r="F52" t="str">
        <f>IFERROR(VLOOKUP(A52,'2022'!B:G,3,FALSE),"Unknown")</f>
        <v>All-Rounder</v>
      </c>
      <c r="G52" t="str">
        <f>IFERROR(VLOOKUP(A52,'2023'!B:G,3,FALSE),"Unknown")</f>
        <v>Unknown</v>
      </c>
      <c r="H52" t="str">
        <f>IFERROR(VLOOKUP(A52,'2024'!B:G,3,FALSE),"Unknown")</f>
        <v>All-Rounder</v>
      </c>
      <c r="I52" t="str">
        <f t="shared" si="1"/>
        <v>All-Rounder</v>
      </c>
      <c r="J52" t="str">
        <f>VLOOKUP(A52,'2025'!B:F,5,FALSE)</f>
        <v>Gujarat Titans</v>
      </c>
    </row>
    <row r="53" spans="1:10" x14ac:dyDescent="0.3">
      <c r="A53" t="s">
        <v>56</v>
      </c>
      <c r="B53">
        <f>VLOOKUP(A53, '2025'!B:H, 2, FALSE)</f>
        <v>7500000</v>
      </c>
      <c r="C53">
        <f>IFERROR(VLOOKUP(A53,'2024'!B:G,4,FALSE),0)</f>
        <v>0</v>
      </c>
      <c r="D53">
        <f>IFERROR(VLOOKUP(A53,'2023'!B:G,4,FALSE),0)</f>
        <v>0</v>
      </c>
      <c r="E53">
        <f>IFERROR(VLOOKUP(A53,'2022'!B:G,4,FALSE),0)</f>
        <v>0</v>
      </c>
      <c r="F53" t="str">
        <f>IFERROR(VLOOKUP(A53,'2022'!B:G,3,FALSE),"Unknown")</f>
        <v>Unknown</v>
      </c>
      <c r="G53" t="str">
        <f>IFERROR(VLOOKUP(A53,'2023'!B:G,3,FALSE),"Unknown")</f>
        <v>Unknown</v>
      </c>
      <c r="H53" t="str">
        <f>IFERROR(VLOOKUP(A53,'2024'!B:G,3,FALSE),"Unknown")</f>
        <v>Unknown</v>
      </c>
      <c r="I53" t="str">
        <f t="shared" si="1"/>
        <v>Unknown</v>
      </c>
      <c r="J53" t="str">
        <f>VLOOKUP(A53,'2025'!B:F,5,FALSE)</f>
        <v>Gujarat Titans</v>
      </c>
    </row>
    <row r="54" spans="1:10" x14ac:dyDescent="0.3">
      <c r="A54" t="s">
        <v>57</v>
      </c>
      <c r="B54">
        <f>VLOOKUP(A54, '2025'!B:H, 2, FALSE)</f>
        <v>7500000</v>
      </c>
      <c r="C54">
        <f>IFERROR(VLOOKUP(A54,'2024'!B:G,4,FALSE),0)</f>
        <v>0</v>
      </c>
      <c r="D54">
        <f>IFERROR(VLOOKUP(A54,'2023'!B:G,4,FALSE),0)</f>
        <v>0</v>
      </c>
      <c r="E54">
        <f>IFERROR(VLOOKUP(A54,'2022'!B:G,4,FALSE),0)</f>
        <v>17000000</v>
      </c>
      <c r="F54" t="str">
        <f>IFERROR(VLOOKUP(A54,'2022'!B:G,3,FALSE),"Unknown")</f>
        <v>All-Rounder</v>
      </c>
      <c r="G54" t="str">
        <f>IFERROR(VLOOKUP(A54,'2023'!B:G,3,FALSE),"Unknown")</f>
        <v>Unknown</v>
      </c>
      <c r="H54" t="str">
        <f>IFERROR(VLOOKUP(A54,'2024'!B:G,3,FALSE),"Unknown")</f>
        <v>Unknown</v>
      </c>
      <c r="I54" t="str">
        <f t="shared" si="1"/>
        <v>All-Rounder</v>
      </c>
      <c r="J54" t="str">
        <f>VLOOKUP(A54,'2025'!B:F,5,FALSE)</f>
        <v>Gujarat Titans</v>
      </c>
    </row>
    <row r="55" spans="1:10" x14ac:dyDescent="0.3">
      <c r="A55" t="s">
        <v>58</v>
      </c>
      <c r="B55">
        <f>VLOOKUP(A55, '2025'!B:H, 2, FALSE)</f>
        <v>7500000</v>
      </c>
      <c r="C55">
        <f>IFERROR(VLOOKUP(A55,'2024'!B:G,4,FALSE),0)</f>
        <v>0</v>
      </c>
      <c r="D55">
        <f>IFERROR(VLOOKUP(A55,'2023'!B:G,4,FALSE),0)</f>
        <v>5000000</v>
      </c>
      <c r="E55">
        <f>IFERROR(VLOOKUP(A55,'2022'!B:G,4,FALSE),0)</f>
        <v>0</v>
      </c>
      <c r="F55" t="str">
        <f>IFERROR(VLOOKUP(A55,'2022'!B:G,3,FALSE),"Unknown")</f>
        <v>Unknown</v>
      </c>
      <c r="G55" t="str">
        <f>IFERROR(VLOOKUP(A55,'2023'!B:G,3,FALSE),"Unknown")</f>
        <v>Bowler</v>
      </c>
      <c r="H55" t="str">
        <f>IFERROR(VLOOKUP(A55,'2024'!B:G,3,FALSE),"Unknown")</f>
        <v>Unknown</v>
      </c>
      <c r="I55" t="str">
        <f t="shared" si="1"/>
        <v>Bowler</v>
      </c>
      <c r="J55" t="str">
        <f>VLOOKUP(A55,'2025'!B:F,5,FALSE)</f>
        <v>Gujarat Titans</v>
      </c>
    </row>
    <row r="56" spans="1:10" x14ac:dyDescent="0.3">
      <c r="A56" t="s">
        <v>59</v>
      </c>
      <c r="B56">
        <f>VLOOKUP(A56, '2025'!B:H, 2, FALSE)</f>
        <v>3000000</v>
      </c>
      <c r="C56">
        <f>IFERROR(VLOOKUP(A56,'2024'!B:G,4,FALSE),0)</f>
        <v>72000000</v>
      </c>
      <c r="D56">
        <f>IFERROR(VLOOKUP(A56,'2023'!B:G,4,FALSE),0)</f>
        <v>0</v>
      </c>
      <c r="E56">
        <f>IFERROR(VLOOKUP(A56,'2022'!B:G,4,FALSE),0)</f>
        <v>0</v>
      </c>
      <c r="F56" t="str">
        <f>IFERROR(VLOOKUP(A56,'2022'!B:G,3,FALSE),"Unknown")</f>
        <v>Unknown</v>
      </c>
      <c r="G56" t="str">
        <f>IFERROR(VLOOKUP(A56,'2023'!B:G,3,FALSE),"Unknown")</f>
        <v>Unknown</v>
      </c>
      <c r="H56" t="str">
        <f>IFERROR(VLOOKUP(A56,'2024'!B:G,3,FALSE),"Unknown")</f>
        <v>Wicket-Keeper</v>
      </c>
      <c r="I56" t="str">
        <f t="shared" si="1"/>
        <v>Wicket-Keeper</v>
      </c>
      <c r="J56" t="str">
        <f>VLOOKUP(A56,'2025'!B:F,5,FALSE)</f>
        <v>Gujarat Titans</v>
      </c>
    </row>
    <row r="57" spans="1:10" x14ac:dyDescent="0.3">
      <c r="A57" t="s">
        <v>60</v>
      </c>
      <c r="B57">
        <f>VLOOKUP(A57, '2025'!B:H, 2, FALSE)</f>
        <v>3000000</v>
      </c>
      <c r="C57">
        <f>IFERROR(VLOOKUP(A57,'2024'!B:G,4,FALSE),0)</f>
        <v>0</v>
      </c>
      <c r="D57">
        <f>IFERROR(VLOOKUP(A57,'2023'!B:G,4,FALSE),0)</f>
        <v>2000000</v>
      </c>
      <c r="E57">
        <f>IFERROR(VLOOKUP(A57,'2022'!B:G,4,FALSE),0)</f>
        <v>0</v>
      </c>
      <c r="F57" t="str">
        <f>IFERROR(VLOOKUP(A57,'2022'!B:G,3,FALSE),"Unknown")</f>
        <v>Unknown</v>
      </c>
      <c r="G57" t="str">
        <f>IFERROR(VLOOKUP(A57,'2023'!B:G,3,FALSE),"Unknown")</f>
        <v>Bowler</v>
      </c>
      <c r="H57" t="str">
        <f>IFERROR(VLOOKUP(A57,'2024'!B:G,3,FALSE),"Unknown")</f>
        <v>Unknown</v>
      </c>
      <c r="I57" t="str">
        <f t="shared" si="1"/>
        <v>Bowler</v>
      </c>
      <c r="J57" t="str">
        <f>VLOOKUP(A57,'2025'!B:F,5,FALSE)</f>
        <v>Gujarat Titans</v>
      </c>
    </row>
    <row r="58" spans="1:10" x14ac:dyDescent="0.3">
      <c r="A58" t="s">
        <v>61</v>
      </c>
      <c r="B58">
        <f>VLOOKUP(A58, '2025'!B:H, 2, FALSE)</f>
        <v>3000000</v>
      </c>
      <c r="C58">
        <f>IFERROR(VLOOKUP(A58,'2024'!B:G,4,FALSE),0)</f>
        <v>2000000</v>
      </c>
      <c r="D58">
        <f>IFERROR(VLOOKUP(A58,'2023'!B:G,4,FALSE),0)</f>
        <v>0</v>
      </c>
      <c r="E58">
        <f>IFERROR(VLOOKUP(A58,'2022'!B:G,4,FALSE),0)</f>
        <v>0</v>
      </c>
      <c r="F58" t="str">
        <f>IFERROR(VLOOKUP(A58,'2022'!B:G,3,FALSE),"Unknown")</f>
        <v>Unknown</v>
      </c>
      <c r="G58" t="str">
        <f>IFERROR(VLOOKUP(A58,'2023'!B:G,3,FALSE),"Unknown")</f>
        <v>Unknown</v>
      </c>
      <c r="H58" t="str">
        <f>IFERROR(VLOOKUP(A58,'2024'!B:G,3,FALSE),"Unknown")</f>
        <v>Bowler</v>
      </c>
      <c r="I58" t="str">
        <f t="shared" si="1"/>
        <v>Bowler</v>
      </c>
      <c r="J58" t="str">
        <f>VLOOKUP(A58,'2025'!B:F,5,FALSE)</f>
        <v>Gujarat Titans</v>
      </c>
    </row>
    <row r="59" spans="1:10" x14ac:dyDescent="0.3">
      <c r="A59" t="s">
        <v>62</v>
      </c>
      <c r="B59">
        <f>VLOOKUP(A59, '2025'!B:H, 2, FALSE)</f>
        <v>3000000</v>
      </c>
      <c r="C59">
        <f>IFERROR(VLOOKUP(A59,'2024'!B:G,4,FALSE),0)</f>
        <v>0</v>
      </c>
      <c r="D59">
        <f>IFERROR(VLOOKUP(A59,'2023'!B:G,4,FALSE),0)</f>
        <v>0</v>
      </c>
      <c r="E59">
        <f>IFERROR(VLOOKUP(A59,'2022'!B:G,4,FALSE),0)</f>
        <v>34000000</v>
      </c>
      <c r="F59" t="str">
        <f>IFERROR(VLOOKUP(A59,'2022'!B:G,3,FALSE),"Unknown")</f>
        <v>Wicket Keeper</v>
      </c>
      <c r="G59" t="str">
        <f>IFERROR(VLOOKUP(A59,'2023'!B:G,3,FALSE),"Unknown")</f>
        <v>Unknown</v>
      </c>
      <c r="H59" t="str">
        <f>IFERROR(VLOOKUP(A59,'2024'!B:G,3,FALSE),"Unknown")</f>
        <v>Unknown</v>
      </c>
      <c r="I59" t="str">
        <f t="shared" si="1"/>
        <v>Wicket Keeper</v>
      </c>
      <c r="J59" t="str">
        <f>VLOOKUP(A59,'2025'!B:F,5,FALSE)</f>
        <v>Gujarat Titans</v>
      </c>
    </row>
    <row r="60" spans="1:10" x14ac:dyDescent="0.3">
      <c r="A60" t="s">
        <v>63</v>
      </c>
      <c r="B60">
        <f>VLOOKUP(A60, '2025'!B:H, 2, FALSE)</f>
        <v>3000000</v>
      </c>
      <c r="C60">
        <f>IFERROR(VLOOKUP(A60,'2024'!B:G,4,FALSE),0)</f>
        <v>0</v>
      </c>
      <c r="D60">
        <f>IFERROR(VLOOKUP(A60,'2023'!B:G,4,FALSE),0)</f>
        <v>6000000</v>
      </c>
      <c r="E60">
        <f>IFERROR(VLOOKUP(A60,'2022'!B:G,4,FALSE),0)</f>
        <v>0</v>
      </c>
      <c r="F60" t="str">
        <f>IFERROR(VLOOKUP(A60,'2022'!B:G,3,FALSE),"Unknown")</f>
        <v>Unknown</v>
      </c>
      <c r="G60" t="str">
        <f>IFERROR(VLOOKUP(A60,'2023'!B:G,3,FALSE),"Unknown")</f>
        <v>All-Rounder</v>
      </c>
      <c r="H60" t="str">
        <f>IFERROR(VLOOKUP(A60,'2024'!B:G,3,FALSE),"Unknown")</f>
        <v>Unknown</v>
      </c>
      <c r="I60" t="str">
        <f t="shared" si="1"/>
        <v>All-Rounder</v>
      </c>
      <c r="J60" t="str">
        <f>VLOOKUP(A60,'2025'!B:F,5,FALSE)</f>
        <v>Gujarat Titans</v>
      </c>
    </row>
    <row r="61" spans="1:10" x14ac:dyDescent="0.3">
      <c r="A61" t="s">
        <v>64</v>
      </c>
      <c r="B61">
        <f>VLOOKUP(A61, '2025'!B:H, 2, FALSE)</f>
        <v>20000000</v>
      </c>
      <c r="C61">
        <f>IFERROR(VLOOKUP(A61,'2024'!B:G,4,FALSE),0)</f>
        <v>0</v>
      </c>
      <c r="D61">
        <f>IFERROR(VLOOKUP(A61,'2023'!B:G,4,FALSE),0)</f>
        <v>0</v>
      </c>
      <c r="E61">
        <f>IFERROR(VLOOKUP(A61,'2022'!B:G,4,FALSE),0)</f>
        <v>0</v>
      </c>
      <c r="F61" t="str">
        <f>IFERROR(VLOOKUP(A61,'2022'!B:G,3,FALSE),"Unknown")</f>
        <v>Unknown</v>
      </c>
      <c r="G61" t="str">
        <f>IFERROR(VLOOKUP(A61,'2023'!B:G,3,FALSE),"Unknown")</f>
        <v>Unknown</v>
      </c>
      <c r="H61" t="str">
        <f>IFERROR(VLOOKUP(A61,'2024'!B:G,3,FALSE),"Unknown")</f>
        <v>Unknown</v>
      </c>
      <c r="I61" t="str">
        <f t="shared" si="1"/>
        <v>Unknown</v>
      </c>
      <c r="J61" t="str">
        <f>VLOOKUP(A61,'2025'!B:F,5,FALSE)</f>
        <v>Kolkata Knight Riders</v>
      </c>
    </row>
    <row r="62" spans="1:10" x14ac:dyDescent="0.3">
      <c r="A62" t="s">
        <v>66</v>
      </c>
      <c r="B62">
        <f>VLOOKUP(A62, '2025'!B:H, 2, FALSE)</f>
        <v>20000000</v>
      </c>
      <c r="C62">
        <f>IFERROR(VLOOKUP(A62,'2024'!B:G,4,FALSE),0)</f>
        <v>0</v>
      </c>
      <c r="D62">
        <f>IFERROR(VLOOKUP(A62,'2023'!B:G,4,FALSE),0)</f>
        <v>0</v>
      </c>
      <c r="E62">
        <f>IFERROR(VLOOKUP(A62,'2022'!B:G,4,FALSE),0)</f>
        <v>0</v>
      </c>
      <c r="F62" t="str">
        <f>IFERROR(VLOOKUP(A62,'2022'!B:G,3,FALSE),"Unknown")</f>
        <v>Unknown</v>
      </c>
      <c r="G62" t="str">
        <f>IFERROR(VLOOKUP(A62,'2023'!B:G,3,FALSE),"Unknown")</f>
        <v>Unknown</v>
      </c>
      <c r="H62" t="str">
        <f>IFERROR(VLOOKUP(A62,'2024'!B:G,3,FALSE),"Unknown")</f>
        <v>Unknown</v>
      </c>
      <c r="I62" t="str">
        <f t="shared" si="1"/>
        <v>Unknown</v>
      </c>
      <c r="J62" t="str">
        <f>VLOOKUP(A62,'2025'!B:F,5,FALSE)</f>
        <v>Kolkata Knight Riders</v>
      </c>
    </row>
    <row r="63" spans="1:10" x14ac:dyDescent="0.3">
      <c r="A63" t="s">
        <v>67</v>
      </c>
      <c r="B63">
        <f>VLOOKUP(A63, '2025'!B:H, 2, FALSE)</f>
        <v>20000000</v>
      </c>
      <c r="C63">
        <f>IFERROR(VLOOKUP(A63,'2024'!B:G,4,FALSE),0)</f>
        <v>0</v>
      </c>
      <c r="D63">
        <f>IFERROR(VLOOKUP(A63,'2023'!B:G,4,FALSE),0)</f>
        <v>0</v>
      </c>
      <c r="E63">
        <f>IFERROR(VLOOKUP(A63,'2022'!B:G,4,FALSE),0)</f>
        <v>67500000</v>
      </c>
      <c r="F63" t="str">
        <f>IFERROR(VLOOKUP(A63,'2022'!B:G,3,FALSE),"Unknown")</f>
        <v>Wicket Keeper</v>
      </c>
      <c r="G63" t="str">
        <f>IFERROR(VLOOKUP(A63,'2023'!B:G,3,FALSE),"Unknown")</f>
        <v>Unknown</v>
      </c>
      <c r="H63" t="str">
        <f>IFERROR(VLOOKUP(A63,'2024'!B:G,3,FALSE),"Unknown")</f>
        <v>Unknown</v>
      </c>
      <c r="I63" t="str">
        <f t="shared" si="1"/>
        <v>Wicket Keeper</v>
      </c>
      <c r="J63" t="str">
        <f>VLOOKUP(A63,'2025'!B:F,5,FALSE)</f>
        <v>Kolkata Knight Riders</v>
      </c>
    </row>
    <row r="64" spans="1:10" x14ac:dyDescent="0.3">
      <c r="A64" t="s">
        <v>68</v>
      </c>
      <c r="B64">
        <f>VLOOKUP(A64, '2025'!B:H, 2, FALSE)</f>
        <v>3000000</v>
      </c>
      <c r="C64">
        <f>IFERROR(VLOOKUP(A64,'2024'!B:G,4,FALSE),0)</f>
        <v>2000000</v>
      </c>
      <c r="D64">
        <f>IFERROR(VLOOKUP(A64,'2023'!B:G,4,FALSE),0)</f>
        <v>0</v>
      </c>
      <c r="E64">
        <f>IFERROR(VLOOKUP(A64,'2022'!B:G,4,FALSE),0)</f>
        <v>0</v>
      </c>
      <c r="F64" t="str">
        <f>IFERROR(VLOOKUP(A64,'2022'!B:G,3,FALSE),"Unknown")</f>
        <v>Unknown</v>
      </c>
      <c r="G64" t="str">
        <f>IFERROR(VLOOKUP(A64,'2023'!B:G,3,FALSE),"Unknown")</f>
        <v>Unknown</v>
      </c>
      <c r="H64" t="str">
        <f>IFERROR(VLOOKUP(A64,'2024'!B:G,3,FALSE),"Unknown")</f>
        <v>Batter</v>
      </c>
      <c r="I64" t="str">
        <f t="shared" si="1"/>
        <v>Batter</v>
      </c>
      <c r="J64" t="str">
        <f>VLOOKUP(A64,'2025'!B:F,5,FALSE)</f>
        <v>Kolkata Knight Riders</v>
      </c>
    </row>
    <row r="65" spans="1:10" x14ac:dyDescent="0.3">
      <c r="A65" t="s">
        <v>69</v>
      </c>
      <c r="B65">
        <f>VLOOKUP(A65, '2025'!B:H, 2, FALSE)</f>
        <v>20000000</v>
      </c>
      <c r="C65">
        <f>IFERROR(VLOOKUP(A65,'2024'!B:G,4,FALSE),0)</f>
        <v>100000000</v>
      </c>
      <c r="D65">
        <f>IFERROR(VLOOKUP(A65,'2023'!B:G,4,FALSE),0)</f>
        <v>0</v>
      </c>
      <c r="E65">
        <f>IFERROR(VLOOKUP(A65,'2022'!B:G,4,FALSE),0)</f>
        <v>0</v>
      </c>
      <c r="F65" t="str">
        <f>IFERROR(VLOOKUP(A65,'2022'!B:G,3,FALSE),"Unknown")</f>
        <v>Unknown</v>
      </c>
      <c r="G65" t="str">
        <f>IFERROR(VLOOKUP(A65,'2023'!B:G,3,FALSE),"Unknown")</f>
        <v>Unknown</v>
      </c>
      <c r="H65" t="str">
        <f>IFERROR(VLOOKUP(A65,'2024'!B:G,3,FALSE),"Unknown")</f>
        <v>Bowler</v>
      </c>
      <c r="I65" t="str">
        <f t="shared" si="1"/>
        <v>Bowler</v>
      </c>
      <c r="J65" t="str">
        <f>VLOOKUP(A65,'2025'!B:F,5,FALSE)</f>
        <v>Kolkata Knight Riders</v>
      </c>
    </row>
    <row r="66" spans="1:10" x14ac:dyDescent="0.3">
      <c r="A66" t="s">
        <v>70</v>
      </c>
      <c r="B66">
        <f>VLOOKUP(A66, '2025'!B:H, 2, FALSE)</f>
        <v>20000000</v>
      </c>
      <c r="C66">
        <f>IFERROR(VLOOKUP(A66,'2024'!B:G,4,FALSE),0)</f>
        <v>0</v>
      </c>
      <c r="D66">
        <f>IFERROR(VLOOKUP(A66,'2023'!B:G,4,FALSE),0)</f>
        <v>0</v>
      </c>
      <c r="E66">
        <f>IFERROR(VLOOKUP(A66,'2022'!B:G,4,FALSE),0)</f>
        <v>0</v>
      </c>
      <c r="F66" t="str">
        <f>IFERROR(VLOOKUP(A66,'2022'!B:G,3,FALSE),"Unknown")</f>
        <v>Unknown</v>
      </c>
      <c r="G66" t="str">
        <f>IFERROR(VLOOKUP(A66,'2023'!B:G,3,FALSE),"Unknown")</f>
        <v>Unknown</v>
      </c>
      <c r="H66" t="str">
        <f>IFERROR(VLOOKUP(A66,'2024'!B:G,3,FALSE),"Unknown")</f>
        <v>Unknown</v>
      </c>
      <c r="I66" t="str">
        <f t="shared" si="1"/>
        <v>Unknown</v>
      </c>
      <c r="J66" t="str">
        <f>VLOOKUP(A66,'2025'!B:F,5,FALSE)</f>
        <v>Kolkata Knight Riders</v>
      </c>
    </row>
    <row r="67" spans="1:10" x14ac:dyDescent="0.3">
      <c r="A67" t="s">
        <v>71</v>
      </c>
      <c r="B67">
        <f>VLOOKUP(A67, '2025'!B:H, 2, FALSE)</f>
        <v>20000000</v>
      </c>
      <c r="C67">
        <f>IFERROR(VLOOKUP(A67,'2024'!B:G,4,FALSE),0)</f>
        <v>0</v>
      </c>
      <c r="D67">
        <f>IFERROR(VLOOKUP(A67,'2023'!B:G,4,FALSE),0)</f>
        <v>0</v>
      </c>
      <c r="E67">
        <f>IFERROR(VLOOKUP(A67,'2022'!B:G,4,FALSE),0)</f>
        <v>0</v>
      </c>
      <c r="F67" t="str">
        <f>IFERROR(VLOOKUP(A67,'2022'!B:G,3,FALSE),"Unknown")</f>
        <v>Unknown</v>
      </c>
      <c r="G67" t="str">
        <f>IFERROR(VLOOKUP(A67,'2023'!B:G,3,FALSE),"Unknown")</f>
        <v>Unknown</v>
      </c>
      <c r="H67" t="str">
        <f>IFERROR(VLOOKUP(A67,'2024'!B:G,3,FALSE),"Unknown")</f>
        <v>Unknown</v>
      </c>
      <c r="I67" t="str">
        <f t="shared" si="1"/>
        <v>Unknown</v>
      </c>
      <c r="J67" t="str">
        <f>VLOOKUP(A67,'2025'!B:F,5,FALSE)</f>
        <v>Kolkata Knight Riders</v>
      </c>
    </row>
    <row r="68" spans="1:10" x14ac:dyDescent="0.3">
      <c r="A68" t="s">
        <v>72</v>
      </c>
      <c r="B68">
        <f>VLOOKUP(A68, '2025'!B:H, 2, FALSE)</f>
        <v>3000000</v>
      </c>
      <c r="C68">
        <f>IFERROR(VLOOKUP(A68,'2024'!B:G,4,FALSE),0)</f>
        <v>0</v>
      </c>
      <c r="D68">
        <f>IFERROR(VLOOKUP(A68,'2023'!B:G,4,FALSE),0)</f>
        <v>6000000</v>
      </c>
      <c r="E68">
        <f>IFERROR(VLOOKUP(A68,'2022'!B:G,4,FALSE),0)</f>
        <v>20000000</v>
      </c>
      <c r="F68" t="str">
        <f>IFERROR(VLOOKUP(A68,'2022'!B:G,3,FALSE),"Unknown")</f>
        <v>Bowler</v>
      </c>
      <c r="G68" t="str">
        <f>IFERROR(VLOOKUP(A68,'2023'!B:G,3,FALSE),"Unknown")</f>
        <v>Bowler</v>
      </c>
      <c r="H68" t="str">
        <f>IFERROR(VLOOKUP(A68,'2024'!B:G,3,FALSE),"Unknown")</f>
        <v>Unknown</v>
      </c>
      <c r="I68" t="str">
        <f t="shared" si="1"/>
        <v>Bowler</v>
      </c>
      <c r="J68" t="str">
        <f>VLOOKUP(A68,'2025'!B:F,5,FALSE)</f>
        <v>Kolkata Knight Riders</v>
      </c>
    </row>
    <row r="69" spans="1:10" x14ac:dyDescent="0.3">
      <c r="A69" t="s">
        <v>73</v>
      </c>
      <c r="B69">
        <f>VLOOKUP(A69, '2025'!B:H, 2, FALSE)</f>
        <v>15000000</v>
      </c>
      <c r="C69">
        <f>IFERROR(VLOOKUP(A69,'2024'!B:G,4,FALSE),0)</f>
        <v>0</v>
      </c>
      <c r="D69">
        <f>IFERROR(VLOOKUP(A69,'2023'!B:G,4,FALSE),0)</f>
        <v>5000000</v>
      </c>
      <c r="E69">
        <f>IFERROR(VLOOKUP(A69,'2022'!B:G,4,FALSE),0)</f>
        <v>10000000</v>
      </c>
      <c r="F69" t="str">
        <f>IFERROR(VLOOKUP(A69,'2022'!B:G,3,FALSE),"Unknown")</f>
        <v>Batsman</v>
      </c>
      <c r="G69" t="str">
        <f>IFERROR(VLOOKUP(A69,'2023'!B:G,3,FALSE),"Unknown")</f>
        <v>Batter</v>
      </c>
      <c r="H69" t="str">
        <f>IFERROR(VLOOKUP(A69,'2024'!B:G,3,FALSE),"Unknown")</f>
        <v>Unknown</v>
      </c>
      <c r="I69" t="str">
        <f t="shared" si="1"/>
        <v>Batsman</v>
      </c>
      <c r="J69" t="str">
        <f>VLOOKUP(A69,'2025'!B:F,5,FALSE)</f>
        <v>Kolkata Knight Riders</v>
      </c>
    </row>
    <row r="70" spans="1:10" x14ac:dyDescent="0.3">
      <c r="A70" t="s">
        <v>74</v>
      </c>
      <c r="B70">
        <f>VLOOKUP(A70, '2025'!B:H, 2, FALSE)</f>
        <v>15000000</v>
      </c>
      <c r="C70">
        <f>IFERROR(VLOOKUP(A70,'2024'!B:G,4,FALSE),0)</f>
        <v>74000000</v>
      </c>
      <c r="D70">
        <f>IFERROR(VLOOKUP(A70,'2023'!B:G,4,FALSE),0)</f>
        <v>0</v>
      </c>
      <c r="E70">
        <f>IFERROR(VLOOKUP(A70,'2022'!B:G,4,FALSE),0)</f>
        <v>28000000</v>
      </c>
      <c r="F70" t="str">
        <f>IFERROR(VLOOKUP(A70,'2022'!B:G,3,FALSE),"Unknown")</f>
        <v>Batsman</v>
      </c>
      <c r="G70" t="str">
        <f>IFERROR(VLOOKUP(A70,'2023'!B:G,3,FALSE),"Unknown")</f>
        <v>Unknown</v>
      </c>
      <c r="H70" t="str">
        <f>IFERROR(VLOOKUP(A70,'2024'!B:G,3,FALSE),"Unknown")</f>
        <v>Batter</v>
      </c>
      <c r="I70" t="str">
        <f t="shared" si="1"/>
        <v>Batsman</v>
      </c>
      <c r="J70" t="str">
        <f>VLOOKUP(A70,'2025'!B:F,5,FALSE)</f>
        <v>Kolkata Knight Riders</v>
      </c>
    </row>
    <row r="71" spans="1:10" x14ac:dyDescent="0.3">
      <c r="A71" t="s">
        <v>75</v>
      </c>
      <c r="B71">
        <f>VLOOKUP(A71, '2025'!B:H, 2, FALSE)</f>
        <v>7500000</v>
      </c>
      <c r="C71">
        <f>IFERROR(VLOOKUP(A71,'2024'!B:G,4,FALSE),0)</f>
        <v>0</v>
      </c>
      <c r="D71">
        <f>IFERROR(VLOOKUP(A71,'2023'!B:G,4,FALSE),0)</f>
        <v>0</v>
      </c>
      <c r="E71">
        <f>IFERROR(VLOOKUP(A71,'2022'!B:G,4,FALSE),0)</f>
        <v>0</v>
      </c>
      <c r="F71" t="str">
        <f>IFERROR(VLOOKUP(A71,'2022'!B:G,3,FALSE),"Unknown")</f>
        <v>Unknown</v>
      </c>
      <c r="G71" t="str">
        <f>IFERROR(VLOOKUP(A71,'2023'!B:G,3,FALSE),"Unknown")</f>
        <v>Unknown</v>
      </c>
      <c r="H71" t="str">
        <f>IFERROR(VLOOKUP(A71,'2024'!B:G,3,FALSE),"Unknown")</f>
        <v>Unknown</v>
      </c>
      <c r="I71" t="str">
        <f t="shared" si="1"/>
        <v>Unknown</v>
      </c>
      <c r="J71" t="str">
        <f>VLOOKUP(A71,'2025'!B:F,5,FALSE)</f>
        <v>Kolkata Knight Riders</v>
      </c>
    </row>
    <row r="72" spans="1:10" x14ac:dyDescent="0.3">
      <c r="A72" t="s">
        <v>76</v>
      </c>
      <c r="B72">
        <f>VLOOKUP(A72, '2025'!B:H, 2, FALSE)</f>
        <v>7500000</v>
      </c>
      <c r="C72">
        <f>IFERROR(VLOOKUP(A72,'2024'!B:G,4,FALSE),0)</f>
        <v>5000000</v>
      </c>
      <c r="D72">
        <f>IFERROR(VLOOKUP(A72,'2023'!B:G,4,FALSE),0)</f>
        <v>24000000</v>
      </c>
      <c r="E72">
        <f>IFERROR(VLOOKUP(A72,'2022'!B:G,4,FALSE),0)</f>
        <v>46000000</v>
      </c>
      <c r="F72" t="str">
        <f>IFERROR(VLOOKUP(A72,'2022'!B:G,3,FALSE),"Unknown")</f>
        <v>Batsman</v>
      </c>
      <c r="G72" t="str">
        <f>IFERROR(VLOOKUP(A72,'2023'!B:G,3,FALSE),"Unknown")</f>
        <v>Batter</v>
      </c>
      <c r="H72" t="str">
        <f>IFERROR(VLOOKUP(A72,'2024'!B:G,3,FALSE),"Unknown")</f>
        <v>Batter</v>
      </c>
      <c r="I72" t="str">
        <f t="shared" si="1"/>
        <v>Batsman</v>
      </c>
      <c r="J72" t="str">
        <f>VLOOKUP(A72,'2025'!B:F,5,FALSE)</f>
        <v>Kolkata Knight Riders</v>
      </c>
    </row>
    <row r="73" spans="1:10" x14ac:dyDescent="0.3">
      <c r="A73" t="s">
        <v>77</v>
      </c>
      <c r="B73">
        <f>VLOOKUP(A73, '2025'!B:H, 2, FALSE)</f>
        <v>3000000</v>
      </c>
      <c r="C73">
        <f>IFERROR(VLOOKUP(A73,'2024'!B:G,4,FALSE),0)</f>
        <v>0</v>
      </c>
      <c r="D73">
        <f>IFERROR(VLOOKUP(A73,'2023'!B:G,4,FALSE),0)</f>
        <v>0</v>
      </c>
      <c r="E73">
        <f>IFERROR(VLOOKUP(A73,'2022'!B:G,4,FALSE),0)</f>
        <v>2000000</v>
      </c>
      <c r="F73" t="str">
        <f>IFERROR(VLOOKUP(A73,'2022'!B:G,3,FALSE),"Unknown")</f>
        <v>All-Rounder</v>
      </c>
      <c r="G73" t="str">
        <f>IFERROR(VLOOKUP(A73,'2023'!B:G,3,FALSE),"Unknown")</f>
        <v>Unknown</v>
      </c>
      <c r="H73" t="str">
        <f>IFERROR(VLOOKUP(A73,'2024'!B:G,3,FALSE),"Unknown")</f>
        <v>Unknown</v>
      </c>
      <c r="I73" t="str">
        <f t="shared" si="1"/>
        <v>All-Rounder</v>
      </c>
      <c r="J73" t="str">
        <f>VLOOKUP(A73,'2025'!B:F,5,FALSE)</f>
        <v>Kolkata Knight Riders</v>
      </c>
    </row>
    <row r="74" spans="1:10" x14ac:dyDescent="0.3">
      <c r="A74" t="s">
        <v>78</v>
      </c>
      <c r="B74">
        <f>VLOOKUP(A74, '2025'!B:H, 2, FALSE)</f>
        <v>3000000</v>
      </c>
      <c r="C74">
        <f>IFERROR(VLOOKUP(A74,'2024'!B:G,4,FALSE),0)</f>
        <v>0</v>
      </c>
      <c r="D74">
        <f>IFERROR(VLOOKUP(A74,'2023'!B:G,4,FALSE),0)</f>
        <v>0</v>
      </c>
      <c r="E74">
        <f>IFERROR(VLOOKUP(A74,'2022'!B:G,4,FALSE),0)</f>
        <v>2000000</v>
      </c>
      <c r="F74" t="str">
        <f>IFERROR(VLOOKUP(A74,'2022'!B:G,3,FALSE),"Unknown")</f>
        <v>Wicket Keeper</v>
      </c>
      <c r="G74" t="str">
        <f>IFERROR(VLOOKUP(A74,'2023'!B:G,3,FALSE),"Unknown")</f>
        <v>Unknown</v>
      </c>
      <c r="H74" t="str">
        <f>IFERROR(VLOOKUP(A74,'2024'!B:G,3,FALSE),"Unknown")</f>
        <v>Unknown</v>
      </c>
      <c r="I74" t="str">
        <f t="shared" si="1"/>
        <v>Wicket Keeper</v>
      </c>
      <c r="J74" t="str">
        <f>VLOOKUP(A74,'2025'!B:F,5,FALSE)</f>
        <v>Kolkata Knight Riders</v>
      </c>
    </row>
    <row r="75" spans="1:10" x14ac:dyDescent="0.3">
      <c r="A75" t="s">
        <v>79</v>
      </c>
      <c r="B75">
        <f>VLOOKUP(A75, '2025'!B:H, 2, FALSE)</f>
        <v>3000000</v>
      </c>
      <c r="C75">
        <f>IFERROR(VLOOKUP(A75,'2024'!B:G,4,FALSE),0)</f>
        <v>0</v>
      </c>
      <c r="D75">
        <f>IFERROR(VLOOKUP(A75,'2023'!B:G,4,FALSE),0)</f>
        <v>5000000</v>
      </c>
      <c r="E75">
        <f>IFERROR(VLOOKUP(A75,'2022'!B:G,4,FALSE),0)</f>
        <v>6500000</v>
      </c>
      <c r="F75" t="str">
        <f>IFERROR(VLOOKUP(A75,'2022'!B:G,3,FALSE),"Unknown")</f>
        <v>Bowler</v>
      </c>
      <c r="G75" t="str">
        <f>IFERROR(VLOOKUP(A75,'2023'!B:G,3,FALSE),"Unknown")</f>
        <v>Bowler</v>
      </c>
      <c r="H75" t="str">
        <f>IFERROR(VLOOKUP(A75,'2024'!B:G,3,FALSE),"Unknown")</f>
        <v>Unknown</v>
      </c>
      <c r="I75" t="str">
        <f t="shared" si="1"/>
        <v>Bowler</v>
      </c>
      <c r="J75" t="str">
        <f>VLOOKUP(A75,'2025'!B:F,5,FALSE)</f>
        <v>Kolkata Knight Riders</v>
      </c>
    </row>
    <row r="76" spans="1:10" x14ac:dyDescent="0.3">
      <c r="A76" t="s">
        <v>80</v>
      </c>
      <c r="B76">
        <f>VLOOKUP(A76, '2025'!B:H, 2, FALSE)</f>
        <v>20000000</v>
      </c>
      <c r="C76">
        <f>IFERROR(VLOOKUP(A76,'2024'!B:G,4,FALSE),0)</f>
        <v>0</v>
      </c>
      <c r="D76">
        <f>IFERROR(VLOOKUP(A76,'2023'!B:G,4,FALSE),0)</f>
        <v>0</v>
      </c>
      <c r="E76">
        <f>IFERROR(VLOOKUP(A76,'2022'!B:G,4,FALSE),0)</f>
        <v>0</v>
      </c>
      <c r="F76" t="str">
        <f>IFERROR(VLOOKUP(A76,'2022'!B:G,3,FALSE),"Unknown")</f>
        <v>Unknown</v>
      </c>
      <c r="G76" t="str">
        <f>IFERROR(VLOOKUP(A76,'2023'!B:G,3,FALSE),"Unknown")</f>
        <v>Unknown</v>
      </c>
      <c r="H76" t="str">
        <f>IFERROR(VLOOKUP(A76,'2024'!B:G,3,FALSE),"Unknown")</f>
        <v>Unknown</v>
      </c>
      <c r="I76" t="str">
        <f t="shared" si="1"/>
        <v>Unknown</v>
      </c>
      <c r="J76" t="str">
        <f>VLOOKUP(A76,'2025'!B:F,5,FALSE)</f>
        <v>Lucknow Super Giants</v>
      </c>
    </row>
    <row r="77" spans="1:10" x14ac:dyDescent="0.3">
      <c r="A77" t="s">
        <v>82</v>
      </c>
      <c r="B77">
        <f>VLOOKUP(A77, '2025'!B:H, 2, FALSE)</f>
        <v>20000000</v>
      </c>
      <c r="C77">
        <f>IFERROR(VLOOKUP(A77,'2024'!B:G,4,FALSE),0)</f>
        <v>0</v>
      </c>
      <c r="D77">
        <f>IFERROR(VLOOKUP(A77,'2023'!B:G,4,FALSE),0)</f>
        <v>0</v>
      </c>
      <c r="E77">
        <f>IFERROR(VLOOKUP(A77,'2022'!B:G,4,FALSE),0)</f>
        <v>100000000</v>
      </c>
      <c r="F77" t="str">
        <f>IFERROR(VLOOKUP(A77,'2022'!B:G,3,FALSE),"Unknown")</f>
        <v>Bowler</v>
      </c>
      <c r="G77" t="str">
        <f>IFERROR(VLOOKUP(A77,'2023'!B:G,3,FALSE),"Unknown")</f>
        <v>Unknown</v>
      </c>
      <c r="H77" t="str">
        <f>IFERROR(VLOOKUP(A77,'2024'!B:G,3,FALSE),"Unknown")</f>
        <v>Unknown</v>
      </c>
      <c r="I77" t="str">
        <f t="shared" si="1"/>
        <v>Bowler</v>
      </c>
      <c r="J77" t="str">
        <f>VLOOKUP(A77,'2025'!B:F,5,FALSE)</f>
        <v>Lucknow Super Giants</v>
      </c>
    </row>
    <row r="78" spans="1:10" x14ac:dyDescent="0.3">
      <c r="A78" t="s">
        <v>83</v>
      </c>
      <c r="B78">
        <f>VLOOKUP(A78, '2025'!B:H, 2, FALSE)</f>
        <v>10000000</v>
      </c>
      <c r="C78">
        <f>IFERROR(VLOOKUP(A78,'2024'!B:G,4,FALSE),0)</f>
        <v>0</v>
      </c>
      <c r="D78">
        <f>IFERROR(VLOOKUP(A78,'2023'!B:G,4,FALSE),0)</f>
        <v>0</v>
      </c>
      <c r="E78">
        <f>IFERROR(VLOOKUP(A78,'2022'!B:G,4,FALSE),0)</f>
        <v>2000000</v>
      </c>
      <c r="F78" t="str">
        <f>IFERROR(VLOOKUP(A78,'2022'!B:G,3,FALSE),"Unknown")</f>
        <v>Bowler</v>
      </c>
      <c r="G78" t="str">
        <f>IFERROR(VLOOKUP(A78,'2023'!B:G,3,FALSE),"Unknown")</f>
        <v>Unknown</v>
      </c>
      <c r="H78" t="str">
        <f>IFERROR(VLOOKUP(A78,'2024'!B:G,3,FALSE),"Unknown")</f>
        <v>Unknown</v>
      </c>
      <c r="I78" t="str">
        <f t="shared" si="1"/>
        <v>Bowler</v>
      </c>
      <c r="J78" t="str">
        <f>VLOOKUP(A78,'2025'!B:F,5,FALSE)</f>
        <v>Lucknow Super Giants</v>
      </c>
    </row>
    <row r="79" spans="1:10" x14ac:dyDescent="0.3">
      <c r="A79" t="s">
        <v>84</v>
      </c>
      <c r="B79">
        <f>VLOOKUP(A79, '2025'!B:H, 2, FALSE)</f>
        <v>15000000</v>
      </c>
      <c r="C79">
        <f>IFERROR(VLOOKUP(A79,'2024'!B:G,4,FALSE),0)</f>
        <v>0</v>
      </c>
      <c r="D79">
        <f>IFERROR(VLOOKUP(A79,'2023'!B:G,4,FALSE),0)</f>
        <v>0</v>
      </c>
      <c r="E79">
        <f>IFERROR(VLOOKUP(A79,'2022'!B:G,4,FALSE),0)</f>
        <v>30000000</v>
      </c>
      <c r="F79" t="str">
        <f>IFERROR(VLOOKUP(A79,'2022'!B:G,3,FALSE),"Unknown")</f>
        <v>Batsman</v>
      </c>
      <c r="G79" t="str">
        <f>IFERROR(VLOOKUP(A79,'2023'!B:G,3,FALSE),"Unknown")</f>
        <v>Unknown</v>
      </c>
      <c r="H79" t="str">
        <f>IFERROR(VLOOKUP(A79,'2024'!B:G,3,FALSE),"Unknown")</f>
        <v>Unknown</v>
      </c>
      <c r="I79" t="str">
        <f t="shared" si="1"/>
        <v>Batsman</v>
      </c>
      <c r="J79" t="str">
        <f>VLOOKUP(A79,'2025'!B:F,5,FALSE)</f>
        <v>Lucknow Super Giants</v>
      </c>
    </row>
    <row r="80" spans="1:10" x14ac:dyDescent="0.3">
      <c r="A80" t="s">
        <v>85</v>
      </c>
      <c r="B80">
        <f>VLOOKUP(A80, '2025'!B:H, 2, FALSE)</f>
        <v>3000000</v>
      </c>
      <c r="C80">
        <f>IFERROR(VLOOKUP(A80,'2024'!B:G,4,FALSE),0)</f>
        <v>0</v>
      </c>
      <c r="D80">
        <f>IFERROR(VLOOKUP(A80,'2023'!B:G,4,FALSE),0)</f>
        <v>0</v>
      </c>
      <c r="E80">
        <f>IFERROR(VLOOKUP(A80,'2022'!B:G,4,FALSE),0)</f>
        <v>0</v>
      </c>
      <c r="F80" t="str">
        <f>IFERROR(VLOOKUP(A80,'2022'!B:G,3,FALSE),"Unknown")</f>
        <v>Unknown</v>
      </c>
      <c r="G80" t="str">
        <f>IFERROR(VLOOKUP(A80,'2023'!B:G,3,FALSE),"Unknown")</f>
        <v>Unknown</v>
      </c>
      <c r="H80" t="str">
        <f>IFERROR(VLOOKUP(A80,'2024'!B:G,3,FALSE),"Unknown")</f>
        <v>Unknown</v>
      </c>
      <c r="I80" t="str">
        <f t="shared" si="1"/>
        <v>Unknown</v>
      </c>
      <c r="J80" t="str">
        <f>VLOOKUP(A80,'2025'!B:F,5,FALSE)</f>
        <v>Lucknow Super Giants</v>
      </c>
    </row>
    <row r="81" spans="1:10" x14ac:dyDescent="0.3">
      <c r="A81" t="s">
        <v>86</v>
      </c>
      <c r="B81">
        <f>VLOOKUP(A81, '2025'!B:H, 2, FALSE)</f>
        <v>20000000</v>
      </c>
      <c r="C81">
        <f>IFERROR(VLOOKUP(A81,'2024'!B:G,4,FALSE),0)</f>
        <v>0</v>
      </c>
      <c r="D81">
        <f>IFERROR(VLOOKUP(A81,'2023'!B:G,4,FALSE),0)</f>
        <v>0</v>
      </c>
      <c r="E81">
        <f>IFERROR(VLOOKUP(A81,'2022'!B:G,4,FALSE),0)</f>
        <v>65000000</v>
      </c>
      <c r="F81" t="str">
        <f>IFERROR(VLOOKUP(A81,'2022'!B:G,3,FALSE),"Unknown")</f>
        <v>All-Rounder</v>
      </c>
      <c r="G81" t="str">
        <f>IFERROR(VLOOKUP(A81,'2023'!B:G,3,FALSE),"Unknown")</f>
        <v>Unknown</v>
      </c>
      <c r="H81" t="str">
        <f>IFERROR(VLOOKUP(A81,'2024'!B:G,3,FALSE),"Unknown")</f>
        <v>Unknown</v>
      </c>
      <c r="I81" t="str">
        <f t="shared" si="1"/>
        <v>All-Rounder</v>
      </c>
      <c r="J81" t="str">
        <f>VLOOKUP(A81,'2025'!B:F,5,FALSE)</f>
        <v>Lucknow Super Giants</v>
      </c>
    </row>
    <row r="82" spans="1:10" x14ac:dyDescent="0.3">
      <c r="A82" t="s">
        <v>87</v>
      </c>
      <c r="B82">
        <f>VLOOKUP(A82, '2025'!B:H, 2, FALSE)</f>
        <v>10000000</v>
      </c>
      <c r="C82">
        <f>IFERROR(VLOOKUP(A82,'2024'!B:G,4,FALSE),0)</f>
        <v>0</v>
      </c>
      <c r="D82">
        <f>IFERROR(VLOOKUP(A82,'2023'!B:G,4,FALSE),0)</f>
        <v>0</v>
      </c>
      <c r="E82">
        <f>IFERROR(VLOOKUP(A82,'2022'!B:G,4,FALSE),0)</f>
        <v>24000000</v>
      </c>
      <c r="F82" t="str">
        <f>IFERROR(VLOOKUP(A82,'2022'!B:G,3,FALSE),"Unknown")</f>
        <v>All-Rounder</v>
      </c>
      <c r="G82" t="str">
        <f>IFERROR(VLOOKUP(A82,'2023'!B:G,3,FALSE),"Unknown")</f>
        <v>Unknown</v>
      </c>
      <c r="H82" t="str">
        <f>IFERROR(VLOOKUP(A82,'2024'!B:G,3,FALSE),"Unknown")</f>
        <v>Unknown</v>
      </c>
      <c r="I82" t="str">
        <f t="shared" si="1"/>
        <v>All-Rounder</v>
      </c>
      <c r="J82" t="str">
        <f>VLOOKUP(A82,'2025'!B:F,5,FALSE)</f>
        <v>Lucknow Super Giants</v>
      </c>
    </row>
    <row r="83" spans="1:10" x14ac:dyDescent="0.3">
      <c r="A83" t="s">
        <v>88</v>
      </c>
      <c r="B83">
        <f>VLOOKUP(A83, '2025'!B:H, 2, FALSE)</f>
        <v>20000000</v>
      </c>
      <c r="C83">
        <f>IFERROR(VLOOKUP(A83,'2024'!B:G,4,FALSE),0)</f>
        <v>0</v>
      </c>
      <c r="D83">
        <f>IFERROR(VLOOKUP(A83,'2023'!B:G,4,FALSE),0)</f>
        <v>0</v>
      </c>
      <c r="E83">
        <f>IFERROR(VLOOKUP(A83,'2022'!B:G,4,FALSE),0)</f>
        <v>26000000</v>
      </c>
      <c r="F83" t="str">
        <f>IFERROR(VLOOKUP(A83,'2022'!B:G,3,FALSE),"Unknown")</f>
        <v>Batsman</v>
      </c>
      <c r="G83" t="str">
        <f>IFERROR(VLOOKUP(A83,'2023'!B:G,3,FALSE),"Unknown")</f>
        <v>Unknown</v>
      </c>
      <c r="H83" t="str">
        <f>IFERROR(VLOOKUP(A83,'2024'!B:G,3,FALSE),"Unknown")</f>
        <v>Unknown</v>
      </c>
      <c r="I83" t="str">
        <f t="shared" si="1"/>
        <v>Batsman</v>
      </c>
      <c r="J83" t="str">
        <f>VLOOKUP(A83,'2025'!B:F,5,FALSE)</f>
        <v>Lucknow Super Giants</v>
      </c>
    </row>
    <row r="84" spans="1:10" x14ac:dyDescent="0.3">
      <c r="A84" t="s">
        <v>89</v>
      </c>
      <c r="B84">
        <f>VLOOKUP(A84, '2025'!B:H, 2, FALSE)</f>
        <v>7500000</v>
      </c>
      <c r="C84">
        <f>IFERROR(VLOOKUP(A84,'2024'!B:G,4,FALSE),0)</f>
        <v>0</v>
      </c>
      <c r="D84">
        <f>IFERROR(VLOOKUP(A84,'2023'!B:G,4,FALSE),0)</f>
        <v>0</v>
      </c>
      <c r="E84">
        <f>IFERROR(VLOOKUP(A84,'2022'!B:G,4,FALSE),0)</f>
        <v>0</v>
      </c>
      <c r="F84" t="str">
        <f>IFERROR(VLOOKUP(A84,'2022'!B:G,3,FALSE),"Unknown")</f>
        <v>Unknown</v>
      </c>
      <c r="G84" t="str">
        <f>IFERROR(VLOOKUP(A84,'2023'!B:G,3,FALSE),"Unknown")</f>
        <v>Unknown</v>
      </c>
      <c r="H84" t="str">
        <f>IFERROR(VLOOKUP(A84,'2024'!B:G,3,FALSE),"Unknown")</f>
        <v>Unknown</v>
      </c>
      <c r="I84" t="str">
        <f t="shared" si="1"/>
        <v>Unknown</v>
      </c>
      <c r="J84" t="str">
        <f>VLOOKUP(A84,'2025'!B:F,5,FALSE)</f>
        <v>Lucknow Super Giants</v>
      </c>
    </row>
    <row r="85" spans="1:10" x14ac:dyDescent="0.3">
      <c r="A85" t="s">
        <v>90</v>
      </c>
      <c r="B85">
        <f>VLOOKUP(A85, '2025'!B:H, 2, FALSE)</f>
        <v>7500000</v>
      </c>
      <c r="C85">
        <f>IFERROR(VLOOKUP(A85,'2024'!B:G,4,FALSE),0)</f>
        <v>0</v>
      </c>
      <c r="D85">
        <f>IFERROR(VLOOKUP(A85,'2023'!B:G,4,FALSE),0)</f>
        <v>0</v>
      </c>
      <c r="E85">
        <f>IFERROR(VLOOKUP(A85,'2022'!B:G,4,FALSE),0)</f>
        <v>0</v>
      </c>
      <c r="F85" t="str">
        <f>IFERROR(VLOOKUP(A85,'2022'!B:G,3,FALSE),"Unknown")</f>
        <v>Unknown</v>
      </c>
      <c r="G85" t="str">
        <f>IFERROR(VLOOKUP(A85,'2023'!B:G,3,FALSE),"Unknown")</f>
        <v>Unknown</v>
      </c>
      <c r="H85" t="str">
        <f>IFERROR(VLOOKUP(A85,'2024'!B:G,3,FALSE),"Unknown")</f>
        <v>Unknown</v>
      </c>
      <c r="I85" t="str">
        <f t="shared" si="1"/>
        <v>Unknown</v>
      </c>
      <c r="J85" t="str">
        <f>VLOOKUP(A85,'2025'!B:F,5,FALSE)</f>
        <v>Lucknow Super Giants</v>
      </c>
    </row>
    <row r="86" spans="1:10" x14ac:dyDescent="0.3">
      <c r="A86" t="s">
        <v>91</v>
      </c>
      <c r="B86">
        <f>VLOOKUP(A86, '2025'!B:H, 2, FALSE)</f>
        <v>3000000</v>
      </c>
      <c r="C86">
        <f>IFERROR(VLOOKUP(A86,'2024'!B:G,4,FALSE),0)</f>
        <v>24000000</v>
      </c>
      <c r="D86">
        <f>IFERROR(VLOOKUP(A86,'2023'!B:G,4,FALSE),0)</f>
        <v>0</v>
      </c>
      <c r="E86">
        <f>IFERROR(VLOOKUP(A86,'2022'!B:G,4,FALSE),0)</f>
        <v>0</v>
      </c>
      <c r="F86" t="str">
        <f>IFERROR(VLOOKUP(A86,'2022'!B:G,3,FALSE),"Unknown")</f>
        <v>Unknown</v>
      </c>
      <c r="G86" t="str">
        <f>IFERROR(VLOOKUP(A86,'2023'!B:G,3,FALSE),"Unknown")</f>
        <v>Unknown</v>
      </c>
      <c r="H86" t="str">
        <f>IFERROR(VLOOKUP(A86,'2024'!B:G,3,FALSE),"Unknown")</f>
        <v>Bowler</v>
      </c>
      <c r="I86" t="str">
        <f t="shared" si="1"/>
        <v>Bowler</v>
      </c>
      <c r="J86" t="str">
        <f>VLOOKUP(A86,'2025'!B:F,5,FALSE)</f>
        <v>Lucknow Super Giants</v>
      </c>
    </row>
    <row r="87" spans="1:10" x14ac:dyDescent="0.3">
      <c r="A87" t="s">
        <v>92</v>
      </c>
      <c r="B87">
        <f>VLOOKUP(A87, '2025'!B:H, 2, FALSE)</f>
        <v>3000000</v>
      </c>
      <c r="C87">
        <f>IFERROR(VLOOKUP(A87,'2024'!B:G,4,FALSE),0)</f>
        <v>2000000</v>
      </c>
      <c r="D87">
        <f>IFERROR(VLOOKUP(A87,'2023'!B:G,4,FALSE),0)</f>
        <v>0</v>
      </c>
      <c r="E87">
        <f>IFERROR(VLOOKUP(A87,'2022'!B:G,4,FALSE),0)</f>
        <v>0</v>
      </c>
      <c r="F87" t="str">
        <f>IFERROR(VLOOKUP(A87,'2022'!B:G,3,FALSE),"Unknown")</f>
        <v>Unknown</v>
      </c>
      <c r="G87" t="str">
        <f>IFERROR(VLOOKUP(A87,'2023'!B:G,3,FALSE),"Unknown")</f>
        <v>Unknown</v>
      </c>
      <c r="H87" t="str">
        <f>IFERROR(VLOOKUP(A87,'2024'!B:G,3,FALSE),"Unknown")</f>
        <v>All-Rounder</v>
      </c>
      <c r="I87" t="str">
        <f t="shared" si="1"/>
        <v>All-Rounder</v>
      </c>
      <c r="J87" t="str">
        <f>VLOOKUP(A87,'2025'!B:F,5,FALSE)</f>
        <v>Lucknow Super Giants</v>
      </c>
    </row>
    <row r="88" spans="1:10" x14ac:dyDescent="0.3">
      <c r="A88" t="s">
        <v>93</v>
      </c>
      <c r="B88">
        <f>VLOOKUP(A88, '2025'!B:H, 2, FALSE)</f>
        <v>3000000</v>
      </c>
      <c r="C88">
        <f>IFERROR(VLOOKUP(A88,'2024'!B:G,4,FALSE),0)</f>
        <v>0</v>
      </c>
      <c r="D88">
        <f>IFERROR(VLOOKUP(A88,'2023'!B:G,4,FALSE),0)</f>
        <v>0</v>
      </c>
      <c r="E88">
        <f>IFERROR(VLOOKUP(A88,'2022'!B:G,4,FALSE),0)</f>
        <v>15000000</v>
      </c>
      <c r="F88" t="str">
        <f>IFERROR(VLOOKUP(A88,'2022'!B:G,3,FALSE),"Unknown")</f>
        <v>All-Rounder</v>
      </c>
      <c r="G88" t="str">
        <f>IFERROR(VLOOKUP(A88,'2023'!B:G,3,FALSE),"Unknown")</f>
        <v>Unknown</v>
      </c>
      <c r="H88" t="str">
        <f>IFERROR(VLOOKUP(A88,'2024'!B:G,3,FALSE),"Unknown")</f>
        <v>Unknown</v>
      </c>
      <c r="I88" t="str">
        <f t="shared" si="1"/>
        <v>All-Rounder</v>
      </c>
      <c r="J88" t="str">
        <f>VLOOKUP(A88,'2025'!B:F,5,FALSE)</f>
        <v>Lucknow Super Giants</v>
      </c>
    </row>
    <row r="89" spans="1:10" x14ac:dyDescent="0.3">
      <c r="A89" t="s">
        <v>94</v>
      </c>
      <c r="B89">
        <f>VLOOKUP(A89, '2025'!B:H, 2, FALSE)</f>
        <v>3000000</v>
      </c>
      <c r="C89">
        <f>IFERROR(VLOOKUP(A89,'2024'!B:G,4,FALSE),0)</f>
        <v>0</v>
      </c>
      <c r="D89">
        <f>IFERROR(VLOOKUP(A89,'2023'!B:G,4,FALSE),0)</f>
        <v>0</v>
      </c>
      <c r="E89">
        <f>IFERROR(VLOOKUP(A89,'2022'!B:G,4,FALSE),0)</f>
        <v>0</v>
      </c>
      <c r="F89" t="str">
        <f>IFERROR(VLOOKUP(A89,'2022'!B:G,3,FALSE),"Unknown")</f>
        <v>Unknown</v>
      </c>
      <c r="G89" t="str">
        <f>IFERROR(VLOOKUP(A89,'2023'!B:G,3,FALSE),"Unknown")</f>
        <v>Unknown</v>
      </c>
      <c r="H89" t="str">
        <f>IFERROR(VLOOKUP(A89,'2024'!B:G,3,FALSE),"Unknown")</f>
        <v>Unknown</v>
      </c>
      <c r="I89" t="str">
        <f t="shared" si="1"/>
        <v>Unknown</v>
      </c>
      <c r="J89" t="str">
        <f>VLOOKUP(A89,'2025'!B:F,5,FALSE)</f>
        <v>Lucknow Super Giants</v>
      </c>
    </row>
    <row r="90" spans="1:10" x14ac:dyDescent="0.3">
      <c r="A90" t="s">
        <v>95</v>
      </c>
      <c r="B90">
        <f>VLOOKUP(A90, '2025'!B:H, 2, FALSE)</f>
        <v>3000000</v>
      </c>
      <c r="C90">
        <f>IFERROR(VLOOKUP(A90,'2024'!B:G,4,FALSE),0)</f>
        <v>0</v>
      </c>
      <c r="D90">
        <f>IFERROR(VLOOKUP(A90,'2023'!B:G,4,FALSE),0)</f>
        <v>0</v>
      </c>
      <c r="E90">
        <f>IFERROR(VLOOKUP(A90,'2022'!B:G,4,FALSE),0)</f>
        <v>0</v>
      </c>
      <c r="F90" t="str">
        <f>IFERROR(VLOOKUP(A90,'2022'!B:G,3,FALSE),"Unknown")</f>
        <v>Unknown</v>
      </c>
      <c r="G90" t="str">
        <f>IFERROR(VLOOKUP(A90,'2023'!B:G,3,FALSE),"Unknown")</f>
        <v>Unknown</v>
      </c>
      <c r="H90" t="str">
        <f>IFERROR(VLOOKUP(A90,'2024'!B:G,3,FALSE),"Unknown")</f>
        <v>Unknown</v>
      </c>
      <c r="I90" t="str">
        <f t="shared" si="1"/>
        <v>Unknown</v>
      </c>
      <c r="J90" t="str">
        <f>VLOOKUP(A90,'2025'!B:F,5,FALSE)</f>
        <v>Lucknow Super Giants</v>
      </c>
    </row>
    <row r="91" spans="1:10" x14ac:dyDescent="0.3">
      <c r="A91" t="s">
        <v>96</v>
      </c>
      <c r="B91">
        <f>VLOOKUP(A91, '2025'!B:H, 2, FALSE)</f>
        <v>3000000</v>
      </c>
      <c r="C91">
        <f>IFERROR(VLOOKUP(A91,'2024'!B:G,4,FALSE),0)</f>
        <v>2000000</v>
      </c>
      <c r="D91">
        <f>IFERROR(VLOOKUP(A91,'2023'!B:G,4,FALSE),0)</f>
        <v>0</v>
      </c>
      <c r="E91">
        <f>IFERROR(VLOOKUP(A91,'2022'!B:G,4,FALSE),0)</f>
        <v>0</v>
      </c>
      <c r="F91" t="str">
        <f>IFERROR(VLOOKUP(A91,'2022'!B:G,3,FALSE),"Unknown")</f>
        <v>Unknown</v>
      </c>
      <c r="G91" t="str">
        <f>IFERROR(VLOOKUP(A91,'2023'!B:G,3,FALSE),"Unknown")</f>
        <v>Unknown</v>
      </c>
      <c r="H91" t="str">
        <f>IFERROR(VLOOKUP(A91,'2024'!B:G,3,FALSE),"Unknown")</f>
        <v>Bowler</v>
      </c>
      <c r="I91" t="str">
        <f t="shared" si="1"/>
        <v>Bowler</v>
      </c>
      <c r="J91" t="str">
        <f>VLOOKUP(A91,'2025'!B:F,5,FALSE)</f>
        <v>Lucknow Super Giants</v>
      </c>
    </row>
    <row r="92" spans="1:10" x14ac:dyDescent="0.3">
      <c r="A92" t="s">
        <v>97</v>
      </c>
      <c r="B92">
        <f>VLOOKUP(A92, '2025'!B:H, 2, FALSE)</f>
        <v>3000000</v>
      </c>
      <c r="C92">
        <f>IFERROR(VLOOKUP(A92,'2024'!B:G,4,FALSE),0)</f>
        <v>0</v>
      </c>
      <c r="D92">
        <f>IFERROR(VLOOKUP(A92,'2023'!B:G,4,FALSE),0)</f>
        <v>0</v>
      </c>
      <c r="E92">
        <f>IFERROR(VLOOKUP(A92,'2022'!B:G,4,FALSE),0)</f>
        <v>0</v>
      </c>
      <c r="F92" t="str">
        <f>IFERROR(VLOOKUP(A92,'2022'!B:G,3,FALSE),"Unknown")</f>
        <v>Unknown</v>
      </c>
      <c r="G92" t="str">
        <f>IFERROR(VLOOKUP(A92,'2023'!B:G,3,FALSE),"Unknown")</f>
        <v>Unknown</v>
      </c>
      <c r="H92" t="str">
        <f>IFERROR(VLOOKUP(A92,'2024'!B:G,3,FALSE),"Unknown")</f>
        <v>Unknown</v>
      </c>
      <c r="I92" t="str">
        <f t="shared" si="1"/>
        <v>Unknown</v>
      </c>
      <c r="J92" t="str">
        <f>VLOOKUP(A92,'2025'!B:F,5,FALSE)</f>
        <v>Lucknow Super Giants</v>
      </c>
    </row>
    <row r="93" spans="1:10" x14ac:dyDescent="0.3">
      <c r="A93" t="s">
        <v>98</v>
      </c>
      <c r="B93">
        <f>VLOOKUP(A93, '2025'!B:H, 2, FALSE)</f>
        <v>3000000</v>
      </c>
      <c r="C93">
        <f>IFERROR(VLOOKUP(A93,'2024'!B:G,4,FALSE),0)</f>
        <v>0</v>
      </c>
      <c r="D93">
        <f>IFERROR(VLOOKUP(A93,'2023'!B:G,4,FALSE),0)</f>
        <v>0</v>
      </c>
      <c r="E93">
        <f>IFERROR(VLOOKUP(A93,'2022'!B:G,4,FALSE),0)</f>
        <v>0</v>
      </c>
      <c r="F93" t="str">
        <f>IFERROR(VLOOKUP(A93,'2022'!B:G,3,FALSE),"Unknown")</f>
        <v>Unknown</v>
      </c>
      <c r="G93" t="str">
        <f>IFERROR(VLOOKUP(A93,'2023'!B:G,3,FALSE),"Unknown")</f>
        <v>Unknown</v>
      </c>
      <c r="H93" t="str">
        <f>IFERROR(VLOOKUP(A93,'2024'!B:G,3,FALSE),"Unknown")</f>
        <v>Unknown</v>
      </c>
      <c r="I93" t="str">
        <f t="shared" si="1"/>
        <v>Unknown</v>
      </c>
      <c r="J93" t="str">
        <f>VLOOKUP(A93,'2025'!B:F,5,FALSE)</f>
        <v>Lucknow Super Giants</v>
      </c>
    </row>
    <row r="94" spans="1:10" x14ac:dyDescent="0.3">
      <c r="A94" t="s">
        <v>99</v>
      </c>
      <c r="B94">
        <f>VLOOKUP(A94, '2025'!B:H, 2, FALSE)</f>
        <v>3000000</v>
      </c>
      <c r="C94">
        <f>IFERROR(VLOOKUP(A94,'2024'!B:G,4,FALSE),0)</f>
        <v>0</v>
      </c>
      <c r="D94">
        <f>IFERROR(VLOOKUP(A94,'2023'!B:G,4,FALSE),0)</f>
        <v>0</v>
      </c>
      <c r="E94">
        <f>IFERROR(VLOOKUP(A94,'2022'!B:G,4,FALSE),0)</f>
        <v>2000000</v>
      </c>
      <c r="F94" t="str">
        <f>IFERROR(VLOOKUP(A94,'2022'!B:G,3,FALSE),"Unknown")</f>
        <v>Wicket Keeper</v>
      </c>
      <c r="G94" t="str">
        <f>IFERROR(VLOOKUP(A94,'2023'!B:G,3,FALSE),"Unknown")</f>
        <v>Unknown</v>
      </c>
      <c r="H94" t="str">
        <f>IFERROR(VLOOKUP(A94,'2024'!B:G,3,FALSE),"Unknown")</f>
        <v>Unknown</v>
      </c>
      <c r="I94" t="str">
        <f t="shared" si="1"/>
        <v>Wicket Keeper</v>
      </c>
      <c r="J94" t="str">
        <f>VLOOKUP(A94,'2025'!B:F,5,FALSE)</f>
        <v>Lucknow Super Giants</v>
      </c>
    </row>
    <row r="95" spans="1:10" x14ac:dyDescent="0.3">
      <c r="A95" t="s">
        <v>100</v>
      </c>
      <c r="B95">
        <f>VLOOKUP(A95, '2025'!B:H, 2, FALSE)</f>
        <v>20000000</v>
      </c>
      <c r="C95">
        <f>IFERROR(VLOOKUP(A95,'2024'!B:G,4,FALSE),0)</f>
        <v>0</v>
      </c>
      <c r="D95">
        <f>IFERROR(VLOOKUP(A95,'2023'!B:G,4,FALSE),0)</f>
        <v>0</v>
      </c>
      <c r="E95">
        <f>IFERROR(VLOOKUP(A95,'2022'!B:G,4,FALSE),0)</f>
        <v>80000000</v>
      </c>
      <c r="F95" t="str">
        <f>IFERROR(VLOOKUP(A95,'2022'!B:G,3,FALSE),"Unknown")</f>
        <v>Bowler</v>
      </c>
      <c r="G95" t="str">
        <f>IFERROR(VLOOKUP(A95,'2023'!B:G,3,FALSE),"Unknown")</f>
        <v>Unknown</v>
      </c>
      <c r="H95" t="str">
        <f>IFERROR(VLOOKUP(A95,'2024'!B:G,3,FALSE),"Unknown")</f>
        <v>Unknown</v>
      </c>
      <c r="I95" t="str">
        <f t="shared" si="1"/>
        <v>Bowler</v>
      </c>
      <c r="J95" t="str">
        <f>VLOOKUP(A95,'2025'!B:F,5,FALSE)</f>
        <v>Mumbai Indians</v>
      </c>
    </row>
    <row r="96" spans="1:10" x14ac:dyDescent="0.3">
      <c r="A96" t="s">
        <v>102</v>
      </c>
      <c r="B96">
        <f>VLOOKUP(A96, '2025'!B:H, 2, FALSE)</f>
        <v>20000000</v>
      </c>
      <c r="C96">
        <f>IFERROR(VLOOKUP(A96,'2024'!B:G,4,FALSE),0)</f>
        <v>0</v>
      </c>
      <c r="D96">
        <f>IFERROR(VLOOKUP(A96,'2023'!B:G,4,FALSE),0)</f>
        <v>0</v>
      </c>
      <c r="E96">
        <f>IFERROR(VLOOKUP(A96,'2022'!B:G,4,FALSE),0)</f>
        <v>140000000</v>
      </c>
      <c r="F96" t="str">
        <f>IFERROR(VLOOKUP(A96,'2022'!B:G,3,FALSE),"Unknown")</f>
        <v>Bowler</v>
      </c>
      <c r="G96" t="str">
        <f>IFERROR(VLOOKUP(A96,'2023'!B:G,3,FALSE),"Unknown")</f>
        <v>Unknown</v>
      </c>
      <c r="H96" t="str">
        <f>IFERROR(VLOOKUP(A96,'2024'!B:G,3,FALSE),"Unknown")</f>
        <v>Unknown</v>
      </c>
      <c r="I96" t="str">
        <f t="shared" ref="I96:I159" si="2">IF(F96&lt;&gt;"Unknown",F96,IF(G96&lt;&gt;"Unknown",G96,H96))</f>
        <v>Bowler</v>
      </c>
      <c r="J96" t="str">
        <f>VLOOKUP(A96,'2025'!B:F,5,FALSE)</f>
        <v>Mumbai Indians</v>
      </c>
    </row>
    <row r="97" spans="1:10" x14ac:dyDescent="0.3">
      <c r="A97" t="s">
        <v>103</v>
      </c>
      <c r="B97">
        <f>VLOOKUP(A97, '2025'!B:H, 2, FALSE)</f>
        <v>20000000</v>
      </c>
      <c r="C97">
        <f>IFERROR(VLOOKUP(A97,'2024'!B:G,4,FALSE),0)</f>
        <v>0</v>
      </c>
      <c r="D97">
        <f>IFERROR(VLOOKUP(A97,'2023'!B:G,4,FALSE),0)</f>
        <v>32000000</v>
      </c>
      <c r="E97">
        <f>IFERROR(VLOOKUP(A97,'2022'!B:G,4,FALSE),0)</f>
        <v>0</v>
      </c>
      <c r="F97" t="str">
        <f>IFERROR(VLOOKUP(A97,'2022'!B:G,3,FALSE),"Unknown")</f>
        <v>Unknown</v>
      </c>
      <c r="G97" t="str">
        <f>IFERROR(VLOOKUP(A97,'2023'!B:G,3,FALSE),"Unknown")</f>
        <v>Batter</v>
      </c>
      <c r="H97" t="str">
        <f>IFERROR(VLOOKUP(A97,'2024'!B:G,3,FALSE),"Unknown")</f>
        <v>Unknown</v>
      </c>
      <c r="I97" t="str">
        <f t="shared" si="2"/>
        <v>Batter</v>
      </c>
      <c r="J97" t="str">
        <f>VLOOKUP(A97,'2025'!B:F,5,FALSE)</f>
        <v>Mumbai Indians</v>
      </c>
    </row>
    <row r="98" spans="1:10" x14ac:dyDescent="0.3">
      <c r="A98" t="s">
        <v>104</v>
      </c>
      <c r="B98">
        <f>VLOOKUP(A98, '2025'!B:H, 2, FALSE)</f>
        <v>3000000</v>
      </c>
      <c r="C98">
        <f>IFERROR(VLOOKUP(A98,'2024'!B:G,4,FALSE),0)</f>
        <v>2000000</v>
      </c>
      <c r="D98">
        <f>IFERROR(VLOOKUP(A98,'2023'!B:G,4,FALSE),0)</f>
        <v>0</v>
      </c>
      <c r="E98">
        <f>IFERROR(VLOOKUP(A98,'2022'!B:G,4,FALSE),0)</f>
        <v>0</v>
      </c>
      <c r="F98" t="str">
        <f>IFERROR(VLOOKUP(A98,'2022'!B:G,3,FALSE),"Unknown")</f>
        <v>Unknown</v>
      </c>
      <c r="G98" t="str">
        <f>IFERROR(VLOOKUP(A98,'2023'!B:G,3,FALSE),"Unknown")</f>
        <v>Unknown</v>
      </c>
      <c r="H98" t="str">
        <f>IFERROR(VLOOKUP(A98,'2024'!B:G,3,FALSE),"Unknown")</f>
        <v>All-Rounder</v>
      </c>
      <c r="I98" t="str">
        <f t="shared" si="2"/>
        <v>All-Rounder</v>
      </c>
      <c r="J98" t="str">
        <f>VLOOKUP(A98,'2025'!B:F,5,FALSE)</f>
        <v>Mumbai Indians</v>
      </c>
    </row>
    <row r="99" spans="1:10" x14ac:dyDescent="0.3">
      <c r="A99" t="s">
        <v>105</v>
      </c>
      <c r="B99">
        <f>VLOOKUP(A99, '2025'!B:H, 2, FALSE)</f>
        <v>7500000</v>
      </c>
      <c r="C99">
        <f>IFERROR(VLOOKUP(A99,'2024'!B:G,4,FALSE),0)</f>
        <v>0</v>
      </c>
      <c r="D99">
        <f>IFERROR(VLOOKUP(A99,'2023'!B:G,4,FALSE),0)</f>
        <v>0</v>
      </c>
      <c r="E99">
        <f>IFERROR(VLOOKUP(A99,'2022'!B:G,4,FALSE),0)</f>
        <v>0</v>
      </c>
      <c r="F99" t="str">
        <f>IFERROR(VLOOKUP(A99,'2022'!B:G,3,FALSE),"Unknown")</f>
        <v>Unknown</v>
      </c>
      <c r="G99" t="str">
        <f>IFERROR(VLOOKUP(A99,'2023'!B:G,3,FALSE),"Unknown")</f>
        <v>Unknown</v>
      </c>
      <c r="H99" t="str">
        <f>IFERROR(VLOOKUP(A99,'2024'!B:G,3,FALSE),"Unknown")</f>
        <v>Unknown</v>
      </c>
      <c r="I99" t="str">
        <f t="shared" si="2"/>
        <v>Unknown</v>
      </c>
      <c r="J99" t="str">
        <f>VLOOKUP(A99,'2025'!B:F,5,FALSE)</f>
        <v>Mumbai Indians</v>
      </c>
    </row>
    <row r="100" spans="1:10" x14ac:dyDescent="0.3">
      <c r="A100" t="s">
        <v>106</v>
      </c>
      <c r="B100">
        <f>VLOOKUP(A100, '2025'!B:H, 2, FALSE)</f>
        <v>20000000</v>
      </c>
      <c r="C100">
        <f>IFERROR(VLOOKUP(A100,'2024'!B:G,4,FALSE),0)</f>
        <v>0</v>
      </c>
      <c r="D100">
        <f>IFERROR(VLOOKUP(A100,'2023'!B:G,4,FALSE),0)</f>
        <v>0</v>
      </c>
      <c r="E100">
        <f>IFERROR(VLOOKUP(A100,'2022'!B:G,4,FALSE),0)</f>
        <v>19000000</v>
      </c>
      <c r="F100" t="str">
        <f>IFERROR(VLOOKUP(A100,'2022'!B:G,3,FALSE),"Unknown")</f>
        <v>All-Rounder</v>
      </c>
      <c r="G100" t="str">
        <f>IFERROR(VLOOKUP(A100,'2023'!B:G,3,FALSE),"Unknown")</f>
        <v>Unknown</v>
      </c>
      <c r="H100" t="str">
        <f>IFERROR(VLOOKUP(A100,'2024'!B:G,3,FALSE),"Unknown")</f>
        <v>Unknown</v>
      </c>
      <c r="I100" t="str">
        <f t="shared" si="2"/>
        <v>All-Rounder</v>
      </c>
      <c r="J100" t="str">
        <f>VLOOKUP(A100,'2025'!B:F,5,FALSE)</f>
        <v>Mumbai Indians</v>
      </c>
    </row>
    <row r="101" spans="1:10" x14ac:dyDescent="0.3">
      <c r="A101" t="s">
        <v>107</v>
      </c>
      <c r="B101">
        <f>VLOOKUP(A101, '2025'!B:H, 2, FALSE)</f>
        <v>10000000</v>
      </c>
      <c r="C101">
        <f>IFERROR(VLOOKUP(A101,'2024'!B:G,4,FALSE),0)</f>
        <v>0</v>
      </c>
      <c r="D101">
        <f>IFERROR(VLOOKUP(A101,'2023'!B:G,4,FALSE),0)</f>
        <v>0</v>
      </c>
      <c r="E101">
        <f>IFERROR(VLOOKUP(A101,'2022'!B:G,4,FALSE),0)</f>
        <v>0</v>
      </c>
      <c r="F101" t="str">
        <f>IFERROR(VLOOKUP(A101,'2022'!B:G,3,FALSE),"Unknown")</f>
        <v>Unknown</v>
      </c>
      <c r="G101" t="str">
        <f>IFERROR(VLOOKUP(A101,'2023'!B:G,3,FALSE),"Unknown")</f>
        <v>Unknown</v>
      </c>
      <c r="H101" t="str">
        <f>IFERROR(VLOOKUP(A101,'2024'!B:G,3,FALSE),"Unknown")</f>
        <v>Unknown</v>
      </c>
      <c r="I101" t="str">
        <f t="shared" si="2"/>
        <v>Unknown</v>
      </c>
      <c r="J101" t="str">
        <f>VLOOKUP(A101,'2025'!B:F,5,FALSE)</f>
        <v>Mumbai Indians</v>
      </c>
    </row>
    <row r="102" spans="1:10" x14ac:dyDescent="0.3">
      <c r="A102" t="s">
        <v>108</v>
      </c>
      <c r="B102">
        <f>VLOOKUP(A102, '2025'!B:H, 2, FALSE)</f>
        <v>7500000</v>
      </c>
      <c r="C102">
        <f>IFERROR(VLOOKUP(A102,'2024'!B:G,4,FALSE),0)</f>
        <v>0</v>
      </c>
      <c r="D102">
        <f>IFERROR(VLOOKUP(A102,'2023'!B:G,4,FALSE),0)</f>
        <v>0</v>
      </c>
      <c r="E102">
        <f>IFERROR(VLOOKUP(A102,'2022'!B:G,4,FALSE),0)</f>
        <v>0</v>
      </c>
      <c r="F102" t="str">
        <f>IFERROR(VLOOKUP(A102,'2022'!B:G,3,FALSE),"Unknown")</f>
        <v>Unknown</v>
      </c>
      <c r="G102" t="str">
        <f>IFERROR(VLOOKUP(A102,'2023'!B:G,3,FALSE),"Unknown")</f>
        <v>Unknown</v>
      </c>
      <c r="H102" t="str">
        <f>IFERROR(VLOOKUP(A102,'2024'!B:G,3,FALSE),"Unknown")</f>
        <v>Unknown</v>
      </c>
      <c r="I102" t="str">
        <f t="shared" si="2"/>
        <v>Unknown</v>
      </c>
      <c r="J102" t="str">
        <f>VLOOKUP(A102,'2025'!B:F,5,FALSE)</f>
        <v>Mumbai Indians</v>
      </c>
    </row>
    <row r="103" spans="1:10" x14ac:dyDescent="0.3">
      <c r="A103" t="s">
        <v>109</v>
      </c>
      <c r="B103">
        <f>VLOOKUP(A103, '2025'!B:H, 2, FALSE)</f>
        <v>7500000</v>
      </c>
      <c r="C103">
        <f>IFERROR(VLOOKUP(A103,'2024'!B:G,4,FALSE),0)</f>
        <v>0</v>
      </c>
      <c r="D103">
        <f>IFERROR(VLOOKUP(A103,'2023'!B:G,4,FALSE),0)</f>
        <v>19000000</v>
      </c>
      <c r="E103">
        <f>IFERROR(VLOOKUP(A103,'2022'!B:G,4,FALSE),0)</f>
        <v>0</v>
      </c>
      <c r="F103" t="str">
        <f>IFERROR(VLOOKUP(A103,'2022'!B:G,3,FALSE),"Unknown")</f>
        <v>Unknown</v>
      </c>
      <c r="G103" t="str">
        <f>IFERROR(VLOOKUP(A103,'2023'!B:G,3,FALSE),"Unknown")</f>
        <v>Bowler</v>
      </c>
      <c r="H103" t="str">
        <f>IFERROR(VLOOKUP(A103,'2024'!B:G,3,FALSE),"Unknown")</f>
        <v>Unknown</v>
      </c>
      <c r="I103" t="str">
        <f t="shared" si="2"/>
        <v>Bowler</v>
      </c>
      <c r="J103" t="str">
        <f>VLOOKUP(A103,'2025'!B:F,5,FALSE)</f>
        <v>Mumbai Indians</v>
      </c>
    </row>
    <row r="104" spans="1:10" x14ac:dyDescent="0.3">
      <c r="A104" t="s">
        <v>110</v>
      </c>
      <c r="B104">
        <f>VLOOKUP(A104, '2025'!B:H, 2, FALSE)</f>
        <v>3000000</v>
      </c>
      <c r="C104">
        <f>IFERROR(VLOOKUP(A104,'2024'!B:G,4,FALSE),0)</f>
        <v>36000000</v>
      </c>
      <c r="D104">
        <f>IFERROR(VLOOKUP(A104,'2023'!B:G,4,FALSE),0)</f>
        <v>0</v>
      </c>
      <c r="E104">
        <f>IFERROR(VLOOKUP(A104,'2022'!B:G,4,FALSE),0)</f>
        <v>0</v>
      </c>
      <c r="F104" t="str">
        <f>IFERROR(VLOOKUP(A104,'2022'!B:G,3,FALSE),"Unknown")</f>
        <v>Unknown</v>
      </c>
      <c r="G104" t="str">
        <f>IFERROR(VLOOKUP(A104,'2023'!B:G,3,FALSE),"Unknown")</f>
        <v>Unknown</v>
      </c>
      <c r="H104" t="str">
        <f>IFERROR(VLOOKUP(A104,'2024'!B:G,3,FALSE),"Unknown")</f>
        <v>Wicket-Keeper</v>
      </c>
      <c r="I104" t="str">
        <f t="shared" si="2"/>
        <v>Wicket-Keeper</v>
      </c>
      <c r="J104" t="str">
        <f>VLOOKUP(A104,'2025'!B:F,5,FALSE)</f>
        <v>Mumbai Indians</v>
      </c>
    </row>
    <row r="105" spans="1:10" x14ac:dyDescent="0.3">
      <c r="A105" t="s">
        <v>111</v>
      </c>
      <c r="B105">
        <f>VLOOKUP(A105, '2025'!B:H, 2, FALSE)</f>
        <v>5000000</v>
      </c>
      <c r="C105">
        <f>IFERROR(VLOOKUP(A105,'2024'!B:G,4,FALSE),0)</f>
        <v>0</v>
      </c>
      <c r="D105">
        <f>IFERROR(VLOOKUP(A105,'2023'!B:G,4,FALSE),0)</f>
        <v>0</v>
      </c>
      <c r="E105">
        <f>IFERROR(VLOOKUP(A105,'2022'!B:G,4,FALSE),0)</f>
        <v>5000000</v>
      </c>
      <c r="F105" t="str">
        <f>IFERROR(VLOOKUP(A105,'2022'!B:G,3,FALSE),"Unknown")</f>
        <v>Bowler</v>
      </c>
      <c r="G105" t="str">
        <f>IFERROR(VLOOKUP(A105,'2023'!B:G,3,FALSE),"Unknown")</f>
        <v>Unknown</v>
      </c>
      <c r="H105" t="str">
        <f>IFERROR(VLOOKUP(A105,'2024'!B:G,3,FALSE),"Unknown")</f>
        <v>Unknown</v>
      </c>
      <c r="I105" t="str">
        <f t="shared" si="2"/>
        <v>Bowler</v>
      </c>
      <c r="J105" t="str">
        <f>VLOOKUP(A105,'2025'!B:F,5,FALSE)</f>
        <v>Mumbai Indians</v>
      </c>
    </row>
    <row r="106" spans="1:10" x14ac:dyDescent="0.3">
      <c r="A106" t="s">
        <v>112</v>
      </c>
      <c r="B106">
        <f>VLOOKUP(A106, '2025'!B:H, 2, FALSE)</f>
        <v>3000000</v>
      </c>
      <c r="C106">
        <f>IFERROR(VLOOKUP(A106,'2024'!B:G,4,FALSE),0)</f>
        <v>0</v>
      </c>
      <c r="D106">
        <f>IFERROR(VLOOKUP(A106,'2023'!B:G,4,FALSE),0)</f>
        <v>0</v>
      </c>
      <c r="E106">
        <f>IFERROR(VLOOKUP(A106,'2022'!B:G,4,FALSE),0)</f>
        <v>0</v>
      </c>
      <c r="F106" t="str">
        <f>IFERROR(VLOOKUP(A106,'2022'!B:G,3,FALSE),"Unknown")</f>
        <v>Unknown</v>
      </c>
      <c r="G106" t="str">
        <f>IFERROR(VLOOKUP(A106,'2023'!B:G,3,FALSE),"Unknown")</f>
        <v>Unknown</v>
      </c>
      <c r="H106" t="str">
        <f>IFERROR(VLOOKUP(A106,'2024'!B:G,3,FALSE),"Unknown")</f>
        <v>Unknown</v>
      </c>
      <c r="I106" t="str">
        <f t="shared" si="2"/>
        <v>Unknown</v>
      </c>
      <c r="J106" t="str">
        <f>VLOOKUP(A106,'2025'!B:F,5,FALSE)</f>
        <v>Mumbai Indians</v>
      </c>
    </row>
    <row r="107" spans="1:10" x14ac:dyDescent="0.3">
      <c r="A107" t="s">
        <v>113</v>
      </c>
      <c r="B107">
        <f>VLOOKUP(A107, '2025'!B:H, 2, FALSE)</f>
        <v>3000000</v>
      </c>
      <c r="C107">
        <f>IFERROR(VLOOKUP(A107,'2024'!B:G,4,FALSE),0)</f>
        <v>0</v>
      </c>
      <c r="D107">
        <f>IFERROR(VLOOKUP(A107,'2023'!B:G,4,FALSE),0)</f>
        <v>0</v>
      </c>
      <c r="E107">
        <f>IFERROR(VLOOKUP(A107,'2022'!B:G,4,FALSE),0)</f>
        <v>3000000</v>
      </c>
      <c r="F107" t="str">
        <f>IFERROR(VLOOKUP(A107,'2022'!B:G,3,FALSE),"Unknown")</f>
        <v>All-Rounder</v>
      </c>
      <c r="G107" t="str">
        <f>IFERROR(VLOOKUP(A107,'2023'!B:G,3,FALSE),"Unknown")</f>
        <v>Unknown</v>
      </c>
      <c r="H107" t="str">
        <f>IFERROR(VLOOKUP(A107,'2024'!B:G,3,FALSE),"Unknown")</f>
        <v>Unknown</v>
      </c>
      <c r="I107" t="str">
        <f t="shared" si="2"/>
        <v>All-Rounder</v>
      </c>
      <c r="J107" t="str">
        <f>VLOOKUP(A107,'2025'!B:F,5,FALSE)</f>
        <v>Mumbai Indians</v>
      </c>
    </row>
    <row r="108" spans="1:10" x14ac:dyDescent="0.3">
      <c r="A108" t="s">
        <v>114</v>
      </c>
      <c r="B108">
        <f>VLOOKUP(A108, '2025'!B:H, 2, FALSE)</f>
        <v>3000000</v>
      </c>
      <c r="C108">
        <f>IFERROR(VLOOKUP(A108,'2024'!B:G,4,FALSE),0)</f>
        <v>0</v>
      </c>
      <c r="D108">
        <f>IFERROR(VLOOKUP(A108,'2023'!B:G,4,FALSE),0)</f>
        <v>0</v>
      </c>
      <c r="E108">
        <f>IFERROR(VLOOKUP(A108,'2022'!B:G,4,FALSE),0)</f>
        <v>0</v>
      </c>
      <c r="F108" t="str">
        <f>IFERROR(VLOOKUP(A108,'2022'!B:G,3,FALSE),"Unknown")</f>
        <v>Unknown</v>
      </c>
      <c r="G108" t="str">
        <f>IFERROR(VLOOKUP(A108,'2023'!B:G,3,FALSE),"Unknown")</f>
        <v>Unknown</v>
      </c>
      <c r="H108" t="str">
        <f>IFERROR(VLOOKUP(A108,'2024'!B:G,3,FALSE),"Unknown")</f>
        <v>Unknown</v>
      </c>
      <c r="I108" t="str">
        <f t="shared" si="2"/>
        <v>Unknown</v>
      </c>
      <c r="J108" t="str">
        <f>VLOOKUP(A108,'2025'!B:F,5,FALSE)</f>
        <v>Mumbai Indians</v>
      </c>
    </row>
    <row r="109" spans="1:10" x14ac:dyDescent="0.3">
      <c r="A109" t="s">
        <v>115</v>
      </c>
      <c r="B109">
        <f>VLOOKUP(A109, '2025'!B:H, 2, FALSE)</f>
        <v>3000000</v>
      </c>
      <c r="C109">
        <f>IFERROR(VLOOKUP(A109,'2024'!B:G,4,FALSE),0)</f>
        <v>0</v>
      </c>
      <c r="D109">
        <f>IFERROR(VLOOKUP(A109,'2023'!B:G,4,FALSE),0)</f>
        <v>0</v>
      </c>
      <c r="E109">
        <f>IFERROR(VLOOKUP(A109,'2022'!B:G,4,FALSE),0)</f>
        <v>0</v>
      </c>
      <c r="F109" t="str">
        <f>IFERROR(VLOOKUP(A109,'2022'!B:G,3,FALSE),"Unknown")</f>
        <v>Unknown</v>
      </c>
      <c r="G109" t="str">
        <f>IFERROR(VLOOKUP(A109,'2023'!B:G,3,FALSE),"Unknown")</f>
        <v>Unknown</v>
      </c>
      <c r="H109" t="str">
        <f>IFERROR(VLOOKUP(A109,'2024'!B:G,3,FALSE),"Unknown")</f>
        <v>Unknown</v>
      </c>
      <c r="I109" t="str">
        <f t="shared" si="2"/>
        <v>Unknown</v>
      </c>
      <c r="J109" t="str">
        <f>VLOOKUP(A109,'2025'!B:F,5,FALSE)</f>
        <v>Mumbai Indians</v>
      </c>
    </row>
    <row r="110" spans="1:10" x14ac:dyDescent="0.3">
      <c r="A110" t="s">
        <v>116</v>
      </c>
      <c r="B110">
        <f>VLOOKUP(A110, '2025'!B:H, 2, FALSE)</f>
        <v>3000000</v>
      </c>
      <c r="C110">
        <f>IFERROR(VLOOKUP(A110,'2024'!B:G,4,FALSE),0)</f>
        <v>0</v>
      </c>
      <c r="D110">
        <f>IFERROR(VLOOKUP(A110,'2023'!B:G,4,FALSE),0)</f>
        <v>0</v>
      </c>
      <c r="E110">
        <f>IFERROR(VLOOKUP(A110,'2022'!B:G,4,FALSE),0)</f>
        <v>20000000</v>
      </c>
      <c r="F110" t="str">
        <f>IFERROR(VLOOKUP(A110,'2022'!B:G,3,FALSE),"Unknown")</f>
        <v>All-Rounder</v>
      </c>
      <c r="G110" t="str">
        <f>IFERROR(VLOOKUP(A110,'2023'!B:G,3,FALSE),"Unknown")</f>
        <v>Unknown</v>
      </c>
      <c r="H110" t="str">
        <f>IFERROR(VLOOKUP(A110,'2024'!B:G,3,FALSE),"Unknown")</f>
        <v>Unknown</v>
      </c>
      <c r="I110" t="str">
        <f t="shared" si="2"/>
        <v>All-Rounder</v>
      </c>
      <c r="J110" t="str">
        <f>VLOOKUP(A110,'2025'!B:F,5,FALSE)</f>
        <v>Mumbai Indians</v>
      </c>
    </row>
    <row r="111" spans="1:10" x14ac:dyDescent="0.3">
      <c r="A111" t="s">
        <v>117</v>
      </c>
      <c r="B111">
        <f>VLOOKUP(A111, '2025'!B:H, 2, FALSE)</f>
        <v>3000000</v>
      </c>
      <c r="C111">
        <f>IFERROR(VLOOKUP(A111,'2024'!B:G,4,FALSE),0)</f>
        <v>0</v>
      </c>
      <c r="D111">
        <f>IFERROR(VLOOKUP(A111,'2023'!B:G,4,FALSE),0)</f>
        <v>0</v>
      </c>
      <c r="E111">
        <f>IFERROR(VLOOKUP(A111,'2022'!B:G,4,FALSE),0)</f>
        <v>0</v>
      </c>
      <c r="F111" t="str">
        <f>IFERROR(VLOOKUP(A111,'2022'!B:G,3,FALSE),"Unknown")</f>
        <v>Unknown</v>
      </c>
      <c r="G111" t="str">
        <f>IFERROR(VLOOKUP(A111,'2023'!B:G,3,FALSE),"Unknown")</f>
        <v>Unknown</v>
      </c>
      <c r="H111" t="str">
        <f>IFERROR(VLOOKUP(A111,'2024'!B:G,3,FALSE),"Unknown")</f>
        <v>Unknown</v>
      </c>
      <c r="I111" t="str">
        <f t="shared" si="2"/>
        <v>Unknown</v>
      </c>
      <c r="J111" t="str">
        <f>VLOOKUP(A111,'2025'!B:F,5,FALSE)</f>
        <v>Mumbai Indians</v>
      </c>
    </row>
    <row r="112" spans="1:10" x14ac:dyDescent="0.3">
      <c r="A112" t="s">
        <v>118</v>
      </c>
      <c r="B112">
        <f>VLOOKUP(A112, '2025'!B:H, 2, FALSE)</f>
        <v>3000000</v>
      </c>
      <c r="C112">
        <f>IFERROR(VLOOKUP(A112,'2024'!B:G,4,FALSE),0)</f>
        <v>0</v>
      </c>
      <c r="D112">
        <f>IFERROR(VLOOKUP(A112,'2023'!B:G,4,FALSE),0)</f>
        <v>0</v>
      </c>
      <c r="E112">
        <f>IFERROR(VLOOKUP(A112,'2022'!B:G,4,FALSE),0)</f>
        <v>0</v>
      </c>
      <c r="F112" t="str">
        <f>IFERROR(VLOOKUP(A112,'2022'!B:G,3,FALSE),"Unknown")</f>
        <v>Unknown</v>
      </c>
      <c r="G112" t="str">
        <f>IFERROR(VLOOKUP(A112,'2023'!B:G,3,FALSE),"Unknown")</f>
        <v>Unknown</v>
      </c>
      <c r="H112" t="str">
        <f>IFERROR(VLOOKUP(A112,'2024'!B:G,3,FALSE),"Unknown")</f>
        <v>Unknown</v>
      </c>
      <c r="I112" t="str">
        <f t="shared" si="2"/>
        <v>Unknown</v>
      </c>
      <c r="J112" t="str">
        <f>VLOOKUP(A112,'2025'!B:F,5,FALSE)</f>
        <v>Mumbai Indians</v>
      </c>
    </row>
    <row r="113" spans="1:10" x14ac:dyDescent="0.3">
      <c r="A113" t="s">
        <v>119</v>
      </c>
      <c r="B113">
        <f>VLOOKUP(A113, '2025'!B:H, 2, FALSE)</f>
        <v>20000000</v>
      </c>
      <c r="C113">
        <f>IFERROR(VLOOKUP(A113,'2024'!B:G,4,FALSE),0)</f>
        <v>0</v>
      </c>
      <c r="D113">
        <f>IFERROR(VLOOKUP(A113,'2023'!B:G,4,FALSE),0)</f>
        <v>0</v>
      </c>
      <c r="E113">
        <f>IFERROR(VLOOKUP(A113,'2022'!B:G,4,FALSE),0)</f>
        <v>122500000</v>
      </c>
      <c r="F113" t="str">
        <f>IFERROR(VLOOKUP(A113,'2022'!B:G,3,FALSE),"Unknown")</f>
        <v>Batsman</v>
      </c>
      <c r="G113" t="str">
        <f>IFERROR(VLOOKUP(A113,'2023'!B:G,3,FALSE),"Unknown")</f>
        <v>Unknown</v>
      </c>
      <c r="H113" t="str">
        <f>IFERROR(VLOOKUP(A113,'2024'!B:G,3,FALSE),"Unknown")</f>
        <v>Unknown</v>
      </c>
      <c r="I113" t="str">
        <f t="shared" si="2"/>
        <v>Batsman</v>
      </c>
      <c r="J113" t="str">
        <f>VLOOKUP(A113,'2025'!B:F,5,FALSE)</f>
        <v>Punjab Kings</v>
      </c>
    </row>
    <row r="114" spans="1:10" x14ac:dyDescent="0.3">
      <c r="A114" t="s">
        <v>121</v>
      </c>
      <c r="B114">
        <f>VLOOKUP(A114, '2025'!B:H, 2, FALSE)</f>
        <v>20000000</v>
      </c>
      <c r="C114">
        <f>IFERROR(VLOOKUP(A114,'2024'!B:G,4,FALSE),0)</f>
        <v>0</v>
      </c>
      <c r="D114">
        <f>IFERROR(VLOOKUP(A114,'2023'!B:G,4,FALSE),0)</f>
        <v>0</v>
      </c>
      <c r="E114">
        <f>IFERROR(VLOOKUP(A114,'2022'!B:G,4,FALSE),0)</f>
        <v>65000000</v>
      </c>
      <c r="F114" t="str">
        <f>IFERROR(VLOOKUP(A114,'2022'!B:G,3,FALSE),"Unknown")</f>
        <v>Bowler</v>
      </c>
      <c r="G114" t="str">
        <f>IFERROR(VLOOKUP(A114,'2023'!B:G,3,FALSE),"Unknown")</f>
        <v>Unknown</v>
      </c>
      <c r="H114" t="str">
        <f>IFERROR(VLOOKUP(A114,'2024'!B:G,3,FALSE),"Unknown")</f>
        <v>Unknown</v>
      </c>
      <c r="I114" t="str">
        <f t="shared" si="2"/>
        <v>Bowler</v>
      </c>
      <c r="J114" t="str">
        <f>VLOOKUP(A114,'2025'!B:F,5,FALSE)</f>
        <v>Punjab Kings</v>
      </c>
    </row>
    <row r="115" spans="1:10" x14ac:dyDescent="0.3">
      <c r="A115" t="s">
        <v>122</v>
      </c>
      <c r="B115">
        <f>VLOOKUP(A115, '2025'!B:H, 2, FALSE)</f>
        <v>20000000</v>
      </c>
      <c r="C115">
        <f>IFERROR(VLOOKUP(A115,'2024'!B:G,4,FALSE),0)</f>
        <v>0</v>
      </c>
      <c r="D115">
        <f>IFERROR(VLOOKUP(A115,'2023'!B:G,4,FALSE),0)</f>
        <v>0</v>
      </c>
      <c r="E115">
        <f>IFERROR(VLOOKUP(A115,'2022'!B:G,4,FALSE),0)</f>
        <v>0</v>
      </c>
      <c r="F115" t="str">
        <f>IFERROR(VLOOKUP(A115,'2022'!B:G,3,FALSE),"Unknown")</f>
        <v>Unknown</v>
      </c>
      <c r="G115" t="str">
        <f>IFERROR(VLOOKUP(A115,'2023'!B:G,3,FALSE),"Unknown")</f>
        <v>Unknown</v>
      </c>
      <c r="H115" t="str">
        <f>IFERROR(VLOOKUP(A115,'2024'!B:G,3,FALSE),"Unknown")</f>
        <v>Unknown</v>
      </c>
      <c r="I115" t="str">
        <f t="shared" si="2"/>
        <v>Unknown</v>
      </c>
      <c r="J115" t="str">
        <f>VLOOKUP(A115,'2025'!B:F,5,FALSE)</f>
        <v>Punjab Kings</v>
      </c>
    </row>
    <row r="116" spans="1:10" x14ac:dyDescent="0.3">
      <c r="A116" t="s">
        <v>123</v>
      </c>
      <c r="B116">
        <f>VLOOKUP(A116, '2025'!B:H, 2, FALSE)</f>
        <v>20000000</v>
      </c>
      <c r="C116">
        <f>IFERROR(VLOOKUP(A116,'2024'!B:G,4,FALSE),0)</f>
        <v>0</v>
      </c>
      <c r="D116">
        <f>IFERROR(VLOOKUP(A116,'2023'!B:G,4,FALSE),0)</f>
        <v>0</v>
      </c>
      <c r="E116">
        <f>IFERROR(VLOOKUP(A116,'2022'!B:G,4,FALSE),0)</f>
        <v>0</v>
      </c>
      <c r="F116" t="str">
        <f>IFERROR(VLOOKUP(A116,'2022'!B:G,3,FALSE),"Unknown")</f>
        <v>Unknown</v>
      </c>
      <c r="G116" t="str">
        <f>IFERROR(VLOOKUP(A116,'2023'!B:G,3,FALSE),"Unknown")</f>
        <v>Unknown</v>
      </c>
      <c r="H116" t="str">
        <f>IFERROR(VLOOKUP(A116,'2024'!B:G,3,FALSE),"Unknown")</f>
        <v>Unknown</v>
      </c>
      <c r="I116" t="str">
        <f t="shared" si="2"/>
        <v>Unknown</v>
      </c>
      <c r="J116" t="str">
        <f>VLOOKUP(A116,'2025'!B:F,5,FALSE)</f>
        <v>Punjab Kings</v>
      </c>
    </row>
    <row r="117" spans="1:10" x14ac:dyDescent="0.3">
      <c r="A117" t="s">
        <v>124</v>
      </c>
      <c r="B117">
        <f>VLOOKUP(A117, '2025'!B:H, 2, FALSE)</f>
        <v>12500000</v>
      </c>
      <c r="C117">
        <f>IFERROR(VLOOKUP(A117,'2024'!B:G,4,FALSE),0)</f>
        <v>0</v>
      </c>
      <c r="D117">
        <f>IFERROR(VLOOKUP(A117,'2023'!B:G,4,FALSE),0)</f>
        <v>0</v>
      </c>
      <c r="E117">
        <f>IFERROR(VLOOKUP(A117,'2022'!B:G,4,FALSE),0)</f>
        <v>42000000</v>
      </c>
      <c r="F117" t="str">
        <f>IFERROR(VLOOKUP(A117,'2022'!B:G,3,FALSE),"Unknown")</f>
        <v>All-Rounder</v>
      </c>
      <c r="G117" t="str">
        <f>IFERROR(VLOOKUP(A117,'2023'!B:G,3,FALSE),"Unknown")</f>
        <v>Unknown</v>
      </c>
      <c r="H117" t="str">
        <f>IFERROR(VLOOKUP(A117,'2024'!B:G,3,FALSE),"Unknown")</f>
        <v>Unknown</v>
      </c>
      <c r="I117" t="str">
        <f t="shared" si="2"/>
        <v>All-Rounder</v>
      </c>
      <c r="J117" t="str">
        <f>VLOOKUP(A117,'2025'!B:F,5,FALSE)</f>
        <v>Punjab Kings</v>
      </c>
    </row>
    <row r="118" spans="1:10" x14ac:dyDescent="0.3">
      <c r="A118" t="s">
        <v>125</v>
      </c>
      <c r="B118">
        <f>VLOOKUP(A118, '2025'!B:H, 2, FALSE)</f>
        <v>3000000</v>
      </c>
      <c r="C118">
        <f>IFERROR(VLOOKUP(A118,'2024'!B:G,4,FALSE),0)</f>
        <v>0</v>
      </c>
      <c r="D118">
        <f>IFERROR(VLOOKUP(A118,'2023'!B:G,4,FALSE),0)</f>
        <v>2000000</v>
      </c>
      <c r="E118">
        <f>IFERROR(VLOOKUP(A118,'2022'!B:G,4,FALSE),0)</f>
        <v>0</v>
      </c>
      <c r="F118" t="str">
        <f>IFERROR(VLOOKUP(A118,'2022'!B:G,3,FALSE),"Unknown")</f>
        <v>Unknown</v>
      </c>
      <c r="G118" t="str">
        <f>IFERROR(VLOOKUP(A118,'2023'!B:G,3,FALSE),"Unknown")</f>
        <v>All-Rounder</v>
      </c>
      <c r="H118" t="str">
        <f>IFERROR(VLOOKUP(A118,'2024'!B:G,3,FALSE),"Unknown")</f>
        <v>Unknown</v>
      </c>
      <c r="I118" t="str">
        <f t="shared" si="2"/>
        <v>All-Rounder</v>
      </c>
      <c r="J118" t="str">
        <f>VLOOKUP(A118,'2025'!B:F,5,FALSE)</f>
        <v>Punjab Kings</v>
      </c>
    </row>
    <row r="119" spans="1:10" x14ac:dyDescent="0.3">
      <c r="A119" t="s">
        <v>126</v>
      </c>
      <c r="B119">
        <f>VLOOKUP(A119, '2025'!B:H, 2, FALSE)</f>
        <v>20000000</v>
      </c>
      <c r="C119">
        <f>IFERROR(VLOOKUP(A119,'2024'!B:G,4,FALSE),0)</f>
        <v>0</v>
      </c>
      <c r="D119">
        <f>IFERROR(VLOOKUP(A119,'2023'!B:G,4,FALSE),0)</f>
        <v>0</v>
      </c>
      <c r="E119">
        <f>IFERROR(VLOOKUP(A119,'2022'!B:G,4,FALSE),0)</f>
        <v>0</v>
      </c>
      <c r="F119" t="str">
        <f>IFERROR(VLOOKUP(A119,'2022'!B:G,3,FALSE),"Unknown")</f>
        <v>Unknown</v>
      </c>
      <c r="G119" t="str">
        <f>IFERROR(VLOOKUP(A119,'2023'!B:G,3,FALSE),"Unknown")</f>
        <v>Unknown</v>
      </c>
      <c r="H119" t="str">
        <f>IFERROR(VLOOKUP(A119,'2024'!B:G,3,FALSE),"Unknown")</f>
        <v>Unknown</v>
      </c>
      <c r="I119" t="str">
        <f t="shared" si="2"/>
        <v>Unknown</v>
      </c>
      <c r="J119" t="str">
        <f>VLOOKUP(A119,'2025'!B:F,5,FALSE)</f>
        <v>Punjab Kings</v>
      </c>
    </row>
    <row r="120" spans="1:10" x14ac:dyDescent="0.3">
      <c r="A120" t="s">
        <v>127</v>
      </c>
      <c r="B120">
        <f>VLOOKUP(A120, '2025'!B:H, 2, FALSE)</f>
        <v>3000000</v>
      </c>
      <c r="C120">
        <f>IFERROR(VLOOKUP(A120,'2024'!B:G,4,FALSE),0)</f>
        <v>0</v>
      </c>
      <c r="D120">
        <f>IFERROR(VLOOKUP(A120,'2023'!B:G,4,FALSE),0)</f>
        <v>0</v>
      </c>
      <c r="E120">
        <f>IFERROR(VLOOKUP(A120,'2022'!B:G,4,FALSE),0)</f>
        <v>0</v>
      </c>
      <c r="F120" t="str">
        <f>IFERROR(VLOOKUP(A120,'2022'!B:G,3,FALSE),"Unknown")</f>
        <v>Unknown</v>
      </c>
      <c r="G120" t="str">
        <f>IFERROR(VLOOKUP(A120,'2023'!B:G,3,FALSE),"Unknown")</f>
        <v>Unknown</v>
      </c>
      <c r="H120" t="str">
        <f>IFERROR(VLOOKUP(A120,'2024'!B:G,3,FALSE),"Unknown")</f>
        <v>Unknown</v>
      </c>
      <c r="I120" t="str">
        <f t="shared" si="2"/>
        <v>Unknown</v>
      </c>
      <c r="J120" t="str">
        <f>VLOOKUP(A120,'2025'!B:F,5,FALSE)</f>
        <v>Punjab Kings</v>
      </c>
    </row>
    <row r="121" spans="1:10" x14ac:dyDescent="0.3">
      <c r="A121" t="s">
        <v>128</v>
      </c>
      <c r="B121">
        <f>VLOOKUP(A121, '2025'!B:H, 2, FALSE)</f>
        <v>20000000</v>
      </c>
      <c r="C121">
        <f>IFERROR(VLOOKUP(A121,'2024'!B:G,4,FALSE),0)</f>
        <v>0</v>
      </c>
      <c r="D121">
        <f>IFERROR(VLOOKUP(A121,'2023'!B:G,4,FALSE),0)</f>
        <v>0</v>
      </c>
      <c r="E121">
        <f>IFERROR(VLOOKUP(A121,'2022'!B:G,4,FALSE),0)</f>
        <v>0</v>
      </c>
      <c r="F121" t="str">
        <f>IFERROR(VLOOKUP(A121,'2022'!B:G,3,FALSE),"Unknown")</f>
        <v>Unknown</v>
      </c>
      <c r="G121" t="str">
        <f>IFERROR(VLOOKUP(A121,'2023'!B:G,3,FALSE),"Unknown")</f>
        <v>Unknown</v>
      </c>
      <c r="H121" t="str">
        <f>IFERROR(VLOOKUP(A121,'2024'!B:G,3,FALSE),"Unknown")</f>
        <v>Unknown</v>
      </c>
      <c r="I121" t="str">
        <f t="shared" si="2"/>
        <v>Unknown</v>
      </c>
      <c r="J121" t="str">
        <f>VLOOKUP(A121,'2025'!B:F,5,FALSE)</f>
        <v>Punjab Kings</v>
      </c>
    </row>
    <row r="122" spans="1:10" x14ac:dyDescent="0.3">
      <c r="A122" t="s">
        <v>129</v>
      </c>
      <c r="B122">
        <f>VLOOKUP(A122, '2025'!B:H, 2, FALSE)</f>
        <v>15000000</v>
      </c>
      <c r="C122">
        <f>IFERROR(VLOOKUP(A122,'2024'!B:G,4,FALSE),0)</f>
        <v>5000000</v>
      </c>
      <c r="D122">
        <f>IFERROR(VLOOKUP(A122,'2023'!B:G,4,FALSE),0)</f>
        <v>0</v>
      </c>
      <c r="E122">
        <f>IFERROR(VLOOKUP(A122,'2022'!B:G,4,FALSE),0)</f>
        <v>0</v>
      </c>
      <c r="F122" t="str">
        <f>IFERROR(VLOOKUP(A122,'2022'!B:G,3,FALSE),"Unknown")</f>
        <v>Unknown</v>
      </c>
      <c r="G122" t="str">
        <f>IFERROR(VLOOKUP(A122,'2023'!B:G,3,FALSE),"Unknown")</f>
        <v>Unknown</v>
      </c>
      <c r="H122" t="str">
        <f>IFERROR(VLOOKUP(A122,'2024'!B:G,3,FALSE),"Unknown")</f>
        <v>All-Rounder</v>
      </c>
      <c r="I122" t="str">
        <f t="shared" si="2"/>
        <v>All-Rounder</v>
      </c>
      <c r="J122" t="str">
        <f>VLOOKUP(A122,'2025'!B:F,5,FALSE)</f>
        <v>Punjab Kings</v>
      </c>
    </row>
    <row r="123" spans="1:10" x14ac:dyDescent="0.3">
      <c r="A123" t="s">
        <v>130</v>
      </c>
      <c r="B123">
        <f>VLOOKUP(A123, '2025'!B:H, 2, FALSE)</f>
        <v>20000000</v>
      </c>
      <c r="C123">
        <f>IFERROR(VLOOKUP(A123,'2024'!B:G,4,FALSE),0)</f>
        <v>20000000</v>
      </c>
      <c r="D123">
        <f>IFERROR(VLOOKUP(A123,'2023'!B:G,4,FALSE),0)</f>
        <v>0</v>
      </c>
      <c r="E123">
        <f>IFERROR(VLOOKUP(A123,'2022'!B:G,4,FALSE),0)</f>
        <v>100000000</v>
      </c>
      <c r="F123" t="str">
        <f>IFERROR(VLOOKUP(A123,'2022'!B:G,3,FALSE),"Unknown")</f>
        <v>Bowler</v>
      </c>
      <c r="G123" t="str">
        <f>IFERROR(VLOOKUP(A123,'2023'!B:G,3,FALSE),"Unknown")</f>
        <v>Unknown</v>
      </c>
      <c r="H123" t="str">
        <f>IFERROR(VLOOKUP(A123,'2024'!B:G,3,FALSE),"Unknown")</f>
        <v>Bowler</v>
      </c>
      <c r="I123" t="str">
        <f t="shared" si="2"/>
        <v>Bowler</v>
      </c>
      <c r="J123" t="str">
        <f>VLOOKUP(A123,'2025'!B:F,5,FALSE)</f>
        <v>Punjab Kings</v>
      </c>
    </row>
    <row r="124" spans="1:10" x14ac:dyDescent="0.3">
      <c r="A124" t="s">
        <v>131</v>
      </c>
      <c r="B124">
        <f>VLOOKUP(A124, '2025'!B:H, 2, FALSE)</f>
        <v>3000000</v>
      </c>
      <c r="C124">
        <f>IFERROR(VLOOKUP(A124,'2024'!B:G,4,FALSE),0)</f>
        <v>0</v>
      </c>
      <c r="D124">
        <f>IFERROR(VLOOKUP(A124,'2023'!B:G,4,FALSE),0)</f>
        <v>0</v>
      </c>
      <c r="E124">
        <f>IFERROR(VLOOKUP(A124,'2022'!B:G,4,FALSE),0)</f>
        <v>0</v>
      </c>
      <c r="F124" t="str">
        <f>IFERROR(VLOOKUP(A124,'2022'!B:G,3,FALSE),"Unknown")</f>
        <v>Unknown</v>
      </c>
      <c r="G124" t="str">
        <f>IFERROR(VLOOKUP(A124,'2023'!B:G,3,FALSE),"Unknown")</f>
        <v>Unknown</v>
      </c>
      <c r="H124" t="str">
        <f>IFERROR(VLOOKUP(A124,'2024'!B:G,3,FALSE),"Unknown")</f>
        <v>Unknown</v>
      </c>
      <c r="I124" t="str">
        <f t="shared" si="2"/>
        <v>Unknown</v>
      </c>
      <c r="J124" t="str">
        <f>VLOOKUP(A124,'2025'!B:F,5,FALSE)</f>
        <v>Punjab Kings</v>
      </c>
    </row>
    <row r="125" spans="1:10" x14ac:dyDescent="0.3">
      <c r="A125" t="s">
        <v>132</v>
      </c>
      <c r="B125">
        <f>VLOOKUP(A125, '2025'!B:H, 2, FALSE)</f>
        <v>3000000</v>
      </c>
      <c r="C125">
        <f>IFERROR(VLOOKUP(A125,'2024'!B:G,4,FALSE),0)</f>
        <v>0</v>
      </c>
      <c r="D125">
        <f>IFERROR(VLOOKUP(A125,'2023'!B:G,4,FALSE),0)</f>
        <v>4500000</v>
      </c>
      <c r="E125">
        <f>IFERROR(VLOOKUP(A125,'2022'!B:G,4,FALSE),0)</f>
        <v>0</v>
      </c>
      <c r="F125" t="str">
        <f>IFERROR(VLOOKUP(A125,'2022'!B:G,3,FALSE),"Unknown")</f>
        <v>Unknown</v>
      </c>
      <c r="G125" t="str">
        <f>IFERROR(VLOOKUP(A125,'2023'!B:G,3,FALSE),"Unknown")</f>
        <v>Bowler</v>
      </c>
      <c r="H125" t="str">
        <f>IFERROR(VLOOKUP(A125,'2024'!B:G,3,FALSE),"Unknown")</f>
        <v>Unknown</v>
      </c>
      <c r="I125" t="str">
        <f t="shared" si="2"/>
        <v>Bowler</v>
      </c>
      <c r="J125" t="str">
        <f>VLOOKUP(A125,'2025'!B:F,5,FALSE)</f>
        <v>Punjab Kings</v>
      </c>
    </row>
    <row r="126" spans="1:10" x14ac:dyDescent="0.3">
      <c r="A126" t="s">
        <v>133</v>
      </c>
      <c r="B126">
        <f>VLOOKUP(A126, '2025'!B:H, 2, FALSE)</f>
        <v>3000000</v>
      </c>
      <c r="C126">
        <f>IFERROR(VLOOKUP(A126,'2024'!B:G,4,FALSE),0)</f>
        <v>0</v>
      </c>
      <c r="D126">
        <f>IFERROR(VLOOKUP(A126,'2023'!B:G,4,FALSE),0)</f>
        <v>0</v>
      </c>
      <c r="E126">
        <f>IFERROR(VLOOKUP(A126,'2022'!B:G,4,FALSE),0)</f>
        <v>38000000</v>
      </c>
      <c r="F126" t="str">
        <f>IFERROR(VLOOKUP(A126,'2022'!B:G,3,FALSE),"Unknown")</f>
        <v>All-Rounder</v>
      </c>
      <c r="G126" t="str">
        <f>IFERROR(VLOOKUP(A126,'2023'!B:G,3,FALSE),"Unknown")</f>
        <v>Unknown</v>
      </c>
      <c r="H126" t="str">
        <f>IFERROR(VLOOKUP(A126,'2024'!B:G,3,FALSE),"Unknown")</f>
        <v>Unknown</v>
      </c>
      <c r="I126" t="str">
        <f t="shared" si="2"/>
        <v>All-Rounder</v>
      </c>
      <c r="J126" t="str">
        <f>VLOOKUP(A126,'2025'!B:F,5,FALSE)</f>
        <v>Punjab Kings</v>
      </c>
    </row>
    <row r="127" spans="1:10" x14ac:dyDescent="0.3">
      <c r="A127" t="s">
        <v>134</v>
      </c>
      <c r="B127">
        <f>VLOOKUP(A127, '2025'!B:H, 2, FALSE)</f>
        <v>12500000</v>
      </c>
      <c r="C127">
        <f>IFERROR(VLOOKUP(A127,'2024'!B:G,4,FALSE),0)</f>
        <v>0</v>
      </c>
      <c r="D127">
        <f>IFERROR(VLOOKUP(A127,'2023'!B:G,4,FALSE),0)</f>
        <v>0</v>
      </c>
      <c r="E127">
        <f>IFERROR(VLOOKUP(A127,'2022'!B:G,4,FALSE),0)</f>
        <v>0</v>
      </c>
      <c r="F127" t="str">
        <f>IFERROR(VLOOKUP(A127,'2022'!B:G,3,FALSE),"Unknown")</f>
        <v>Unknown</v>
      </c>
      <c r="G127" t="str">
        <f>IFERROR(VLOOKUP(A127,'2023'!B:G,3,FALSE),"Unknown")</f>
        <v>Unknown</v>
      </c>
      <c r="H127" t="str">
        <f>IFERROR(VLOOKUP(A127,'2024'!B:G,3,FALSE),"Unknown")</f>
        <v>Unknown</v>
      </c>
      <c r="I127" t="str">
        <f t="shared" si="2"/>
        <v>Unknown</v>
      </c>
      <c r="J127" t="str">
        <f>VLOOKUP(A127,'2025'!B:F,5,FALSE)</f>
        <v>Punjab Kings</v>
      </c>
    </row>
    <row r="128" spans="1:10" x14ac:dyDescent="0.3">
      <c r="A128" t="s">
        <v>135</v>
      </c>
      <c r="B128">
        <f>VLOOKUP(A128, '2025'!B:H, 2, FALSE)</f>
        <v>3000000</v>
      </c>
      <c r="C128">
        <f>IFERROR(VLOOKUP(A128,'2024'!B:G,4,FALSE),0)</f>
        <v>0</v>
      </c>
      <c r="D128">
        <f>IFERROR(VLOOKUP(A128,'2023'!B:G,4,FALSE),0)</f>
        <v>2000000</v>
      </c>
      <c r="E128">
        <f>IFERROR(VLOOKUP(A128,'2022'!B:G,4,FALSE),0)</f>
        <v>5000000</v>
      </c>
      <c r="F128" t="str">
        <f>IFERROR(VLOOKUP(A128,'2022'!B:G,3,FALSE),"Unknown")</f>
        <v>Wicket Keeper</v>
      </c>
      <c r="G128" t="str">
        <f>IFERROR(VLOOKUP(A128,'2023'!B:G,3,FALSE),"Unknown")</f>
        <v>Wicket-Keeper</v>
      </c>
      <c r="H128" t="str">
        <f>IFERROR(VLOOKUP(A128,'2024'!B:G,3,FALSE),"Unknown")</f>
        <v>Unknown</v>
      </c>
      <c r="I128" t="str">
        <f t="shared" si="2"/>
        <v>Wicket Keeper</v>
      </c>
      <c r="J128" t="str">
        <f>VLOOKUP(A128,'2025'!B:F,5,FALSE)</f>
        <v>Punjab Kings</v>
      </c>
    </row>
    <row r="129" spans="1:10" x14ac:dyDescent="0.3">
      <c r="A129" t="s">
        <v>136</v>
      </c>
      <c r="B129">
        <f>VLOOKUP(A129, '2025'!B:H, 2, FALSE)</f>
        <v>7500000</v>
      </c>
      <c r="C129">
        <f>IFERROR(VLOOKUP(A129,'2024'!B:G,4,FALSE),0)</f>
        <v>0</v>
      </c>
      <c r="D129">
        <f>IFERROR(VLOOKUP(A129,'2023'!B:G,4,FALSE),0)</f>
        <v>0</v>
      </c>
      <c r="E129">
        <f>IFERROR(VLOOKUP(A129,'2022'!B:G,4,FALSE),0)</f>
        <v>0</v>
      </c>
      <c r="F129" t="str">
        <f>IFERROR(VLOOKUP(A129,'2022'!B:G,3,FALSE),"Unknown")</f>
        <v>Unknown</v>
      </c>
      <c r="G129" t="str">
        <f>IFERROR(VLOOKUP(A129,'2023'!B:G,3,FALSE),"Unknown")</f>
        <v>Unknown</v>
      </c>
      <c r="H129" t="str">
        <f>IFERROR(VLOOKUP(A129,'2024'!B:G,3,FALSE),"Unknown")</f>
        <v>Unknown</v>
      </c>
      <c r="I129" t="str">
        <f t="shared" si="2"/>
        <v>Unknown</v>
      </c>
      <c r="J129" t="str">
        <f>VLOOKUP(A129,'2025'!B:F,5,FALSE)</f>
        <v>Punjab Kings</v>
      </c>
    </row>
    <row r="130" spans="1:10" x14ac:dyDescent="0.3">
      <c r="A130" t="s">
        <v>137</v>
      </c>
      <c r="B130">
        <f>VLOOKUP(A130, '2025'!B:H, 2, FALSE)</f>
        <v>7500000</v>
      </c>
      <c r="C130">
        <f>IFERROR(VLOOKUP(A130,'2024'!B:G,4,FALSE),0)</f>
        <v>0</v>
      </c>
      <c r="D130">
        <f>IFERROR(VLOOKUP(A130,'2023'!B:G,4,FALSE),0)</f>
        <v>0</v>
      </c>
      <c r="E130">
        <f>IFERROR(VLOOKUP(A130,'2022'!B:G,4,FALSE),0)</f>
        <v>2000000</v>
      </c>
      <c r="F130" t="str">
        <f>IFERROR(VLOOKUP(A130,'2022'!B:G,3,FALSE),"Unknown")</f>
        <v>Bowler</v>
      </c>
      <c r="G130" t="str">
        <f>IFERROR(VLOOKUP(A130,'2023'!B:G,3,FALSE),"Unknown")</f>
        <v>Unknown</v>
      </c>
      <c r="H130" t="str">
        <f>IFERROR(VLOOKUP(A130,'2024'!B:G,3,FALSE),"Unknown")</f>
        <v>Unknown</v>
      </c>
      <c r="I130" t="str">
        <f t="shared" si="2"/>
        <v>Bowler</v>
      </c>
      <c r="J130" t="str">
        <f>VLOOKUP(A130,'2025'!B:F,5,FALSE)</f>
        <v>Punjab Kings</v>
      </c>
    </row>
    <row r="131" spans="1:10" x14ac:dyDescent="0.3">
      <c r="A131" t="s">
        <v>138</v>
      </c>
      <c r="B131">
        <f>VLOOKUP(A131, '2025'!B:H, 2, FALSE)</f>
        <v>3000000</v>
      </c>
      <c r="C131">
        <f>IFERROR(VLOOKUP(A131,'2024'!B:G,4,FALSE),0)</f>
        <v>0</v>
      </c>
      <c r="D131">
        <f>IFERROR(VLOOKUP(A131,'2023'!B:G,4,FALSE),0)</f>
        <v>0</v>
      </c>
      <c r="E131">
        <f>IFERROR(VLOOKUP(A131,'2022'!B:G,4,FALSE),0)</f>
        <v>5000000</v>
      </c>
      <c r="F131" t="str">
        <f>IFERROR(VLOOKUP(A131,'2022'!B:G,3,FALSE),"Unknown")</f>
        <v>All-Rounder</v>
      </c>
      <c r="G131" t="str">
        <f>IFERROR(VLOOKUP(A131,'2023'!B:G,3,FALSE),"Unknown")</f>
        <v>Unknown</v>
      </c>
      <c r="H131" t="str">
        <f>IFERROR(VLOOKUP(A131,'2024'!B:G,3,FALSE),"Unknown")</f>
        <v>Unknown</v>
      </c>
      <c r="I131" t="str">
        <f t="shared" si="2"/>
        <v>All-Rounder</v>
      </c>
      <c r="J131" t="str">
        <f>VLOOKUP(A131,'2025'!B:F,5,FALSE)</f>
        <v>Punjab Kings</v>
      </c>
    </row>
    <row r="132" spans="1:10" x14ac:dyDescent="0.3">
      <c r="A132" t="s">
        <v>139</v>
      </c>
      <c r="B132">
        <f>VLOOKUP(A132, '2025'!B:H, 2, FALSE)</f>
        <v>3000000</v>
      </c>
      <c r="C132">
        <f>IFERROR(VLOOKUP(A132,'2024'!B:G,4,FALSE),0)</f>
        <v>0</v>
      </c>
      <c r="D132">
        <f>IFERROR(VLOOKUP(A132,'2023'!B:G,4,FALSE),0)</f>
        <v>0</v>
      </c>
      <c r="E132">
        <f>IFERROR(VLOOKUP(A132,'2022'!B:G,4,FALSE),0)</f>
        <v>0</v>
      </c>
      <c r="F132" t="str">
        <f>IFERROR(VLOOKUP(A132,'2022'!B:G,3,FALSE),"Unknown")</f>
        <v>Unknown</v>
      </c>
      <c r="G132" t="str">
        <f>IFERROR(VLOOKUP(A132,'2023'!B:G,3,FALSE),"Unknown")</f>
        <v>Unknown</v>
      </c>
      <c r="H132" t="str">
        <f>IFERROR(VLOOKUP(A132,'2024'!B:G,3,FALSE),"Unknown")</f>
        <v>Unknown</v>
      </c>
      <c r="I132" t="str">
        <f t="shared" si="2"/>
        <v>Unknown</v>
      </c>
      <c r="J132" t="str">
        <f>VLOOKUP(A132,'2025'!B:F,5,FALSE)</f>
        <v>Punjab Kings</v>
      </c>
    </row>
    <row r="133" spans="1:10" x14ac:dyDescent="0.3">
      <c r="A133" t="s">
        <v>140</v>
      </c>
      <c r="B133">
        <f>VLOOKUP(A133, '2025'!B:H, 2, FALSE)</f>
        <v>3000000</v>
      </c>
      <c r="C133">
        <f>IFERROR(VLOOKUP(A133,'2024'!B:G,4,FALSE),0)</f>
        <v>0</v>
      </c>
      <c r="D133">
        <f>IFERROR(VLOOKUP(A133,'2023'!B:G,4,FALSE),0)</f>
        <v>0</v>
      </c>
      <c r="E133">
        <f>IFERROR(VLOOKUP(A133,'2022'!B:G,4,FALSE),0)</f>
        <v>0</v>
      </c>
      <c r="F133" t="str">
        <f>IFERROR(VLOOKUP(A133,'2022'!B:G,3,FALSE),"Unknown")</f>
        <v>Unknown</v>
      </c>
      <c r="G133" t="str">
        <f>IFERROR(VLOOKUP(A133,'2023'!B:G,3,FALSE),"Unknown")</f>
        <v>Unknown</v>
      </c>
      <c r="H133" t="str">
        <f>IFERROR(VLOOKUP(A133,'2024'!B:G,3,FALSE),"Unknown")</f>
        <v>Unknown</v>
      </c>
      <c r="I133" t="str">
        <f t="shared" si="2"/>
        <v>Unknown</v>
      </c>
      <c r="J133" t="str">
        <f>VLOOKUP(A133,'2025'!B:F,5,FALSE)</f>
        <v>Punjab Kings</v>
      </c>
    </row>
    <row r="134" spans="1:10" x14ac:dyDescent="0.3">
      <c r="A134" t="s">
        <v>141</v>
      </c>
      <c r="B134">
        <f>VLOOKUP(A134, '2025'!B:H, 2, FALSE)</f>
        <v>3000000</v>
      </c>
      <c r="C134">
        <f>IFERROR(VLOOKUP(A134,'2024'!B:G,4,FALSE),0)</f>
        <v>0</v>
      </c>
      <c r="D134">
        <f>IFERROR(VLOOKUP(A134,'2023'!B:G,4,FALSE),0)</f>
        <v>0</v>
      </c>
      <c r="E134">
        <f>IFERROR(VLOOKUP(A134,'2022'!B:G,4,FALSE),0)</f>
        <v>0</v>
      </c>
      <c r="F134" t="str">
        <f>IFERROR(VLOOKUP(A134,'2022'!B:G,3,FALSE),"Unknown")</f>
        <v>Unknown</v>
      </c>
      <c r="G134" t="str">
        <f>IFERROR(VLOOKUP(A134,'2023'!B:G,3,FALSE),"Unknown")</f>
        <v>Unknown</v>
      </c>
      <c r="H134" t="str">
        <f>IFERROR(VLOOKUP(A134,'2024'!B:G,3,FALSE),"Unknown")</f>
        <v>Unknown</v>
      </c>
      <c r="I134" t="str">
        <f t="shared" si="2"/>
        <v>Unknown</v>
      </c>
      <c r="J134" t="str">
        <f>VLOOKUP(A134,'2025'!B:F,5,FALSE)</f>
        <v>Punjab Kings</v>
      </c>
    </row>
    <row r="135" spans="1:10" x14ac:dyDescent="0.3">
      <c r="A135" t="s">
        <v>142</v>
      </c>
      <c r="B135">
        <f>VLOOKUP(A135, '2025'!B:H, 2, FALSE)</f>
        <v>3000000</v>
      </c>
      <c r="C135">
        <f>IFERROR(VLOOKUP(A135,'2024'!B:G,4,FALSE),0)</f>
        <v>0</v>
      </c>
      <c r="D135">
        <f>IFERROR(VLOOKUP(A135,'2023'!B:G,4,FALSE),0)</f>
        <v>0</v>
      </c>
      <c r="E135">
        <f>IFERROR(VLOOKUP(A135,'2022'!B:G,4,FALSE),0)</f>
        <v>0</v>
      </c>
      <c r="F135" t="str">
        <f>IFERROR(VLOOKUP(A135,'2022'!B:G,3,FALSE),"Unknown")</f>
        <v>Unknown</v>
      </c>
      <c r="G135" t="str">
        <f>IFERROR(VLOOKUP(A135,'2023'!B:G,3,FALSE),"Unknown")</f>
        <v>Unknown</v>
      </c>
      <c r="H135" t="str">
        <f>IFERROR(VLOOKUP(A135,'2024'!B:G,3,FALSE),"Unknown")</f>
        <v>Unknown</v>
      </c>
      <c r="I135" t="str">
        <f t="shared" si="2"/>
        <v>Unknown</v>
      </c>
      <c r="J135" t="str">
        <f>VLOOKUP(A135,'2025'!B:F,5,FALSE)</f>
        <v>Punjab Kings</v>
      </c>
    </row>
    <row r="136" spans="1:10" x14ac:dyDescent="0.3">
      <c r="A136" t="s">
        <v>143</v>
      </c>
      <c r="B136">
        <f>VLOOKUP(A136, '2025'!B:H, 2, FALSE)</f>
        <v>20000000</v>
      </c>
      <c r="C136">
        <f>IFERROR(VLOOKUP(A136,'2024'!B:G,4,FALSE),0)</f>
        <v>0</v>
      </c>
      <c r="D136">
        <f>IFERROR(VLOOKUP(A136,'2023'!B:G,4,FALSE),0)</f>
        <v>0</v>
      </c>
      <c r="E136">
        <f>IFERROR(VLOOKUP(A136,'2022'!B:G,4,FALSE),0)</f>
        <v>80000000</v>
      </c>
      <c r="F136" t="str">
        <f>IFERROR(VLOOKUP(A136,'2022'!B:G,3,FALSE),"Unknown")</f>
        <v>All-Rounder</v>
      </c>
      <c r="G136" t="str">
        <f>IFERROR(VLOOKUP(A136,'2023'!B:G,3,FALSE),"Unknown")</f>
        <v>Unknown</v>
      </c>
      <c r="H136" t="str">
        <f>IFERROR(VLOOKUP(A136,'2024'!B:G,3,FALSE),"Unknown")</f>
        <v>Unknown</v>
      </c>
      <c r="I136" t="str">
        <f t="shared" si="2"/>
        <v>All-Rounder</v>
      </c>
      <c r="J136" t="str">
        <f>VLOOKUP(A136,'2025'!B:F,5,FALSE)</f>
        <v>Rajasthan Royals</v>
      </c>
    </row>
    <row r="137" spans="1:10" x14ac:dyDescent="0.3">
      <c r="A137" t="s">
        <v>145</v>
      </c>
      <c r="B137">
        <f>VLOOKUP(A137, '2025'!B:H, 2, FALSE)</f>
        <v>10000000</v>
      </c>
      <c r="C137">
        <f>IFERROR(VLOOKUP(A137,'2024'!B:G,4,FALSE),0)</f>
        <v>0</v>
      </c>
      <c r="D137">
        <f>IFERROR(VLOOKUP(A137,'2023'!B:G,4,FALSE),0)</f>
        <v>0</v>
      </c>
      <c r="E137">
        <f>IFERROR(VLOOKUP(A137,'2022'!B:G,4,FALSE),0)</f>
        <v>2000000</v>
      </c>
      <c r="F137" t="str">
        <f>IFERROR(VLOOKUP(A137,'2022'!B:G,3,FALSE),"Unknown")</f>
        <v>Bowler</v>
      </c>
      <c r="G137" t="str">
        <f>IFERROR(VLOOKUP(A137,'2023'!B:G,3,FALSE),"Unknown")</f>
        <v>Unknown</v>
      </c>
      <c r="H137" t="str">
        <f>IFERROR(VLOOKUP(A137,'2024'!B:G,3,FALSE),"Unknown")</f>
        <v>Unknown</v>
      </c>
      <c r="I137" t="str">
        <f t="shared" si="2"/>
        <v>Bowler</v>
      </c>
      <c r="J137" t="str">
        <f>VLOOKUP(A137,'2025'!B:F,5,FALSE)</f>
        <v>Rajasthan Royals</v>
      </c>
    </row>
    <row r="138" spans="1:10" x14ac:dyDescent="0.3">
      <c r="A138" t="s">
        <v>146</v>
      </c>
      <c r="B138">
        <f>VLOOKUP(A138, '2025'!B:H, 2, FALSE)</f>
        <v>20000000</v>
      </c>
      <c r="C138">
        <f>IFERROR(VLOOKUP(A138,'2024'!B:G,4,FALSE),0)</f>
        <v>15000000</v>
      </c>
      <c r="D138">
        <f>IFERROR(VLOOKUP(A138,'2023'!B:G,4,FALSE),0)</f>
        <v>0</v>
      </c>
      <c r="E138">
        <f>IFERROR(VLOOKUP(A138,'2022'!B:G,4,FALSE),0)</f>
        <v>107500000</v>
      </c>
      <c r="F138" t="str">
        <f>IFERROR(VLOOKUP(A138,'2022'!B:G,3,FALSE),"Unknown")</f>
        <v>All-Rounder</v>
      </c>
      <c r="G138" t="str">
        <f>IFERROR(VLOOKUP(A138,'2023'!B:G,3,FALSE),"Unknown")</f>
        <v>Unknown</v>
      </c>
      <c r="H138" t="str">
        <f>IFERROR(VLOOKUP(A138,'2024'!B:G,3,FALSE),"Unknown")</f>
        <v>All-Rounder</v>
      </c>
      <c r="I138" t="str">
        <f t="shared" si="2"/>
        <v>All-Rounder</v>
      </c>
      <c r="J138" t="str">
        <f>VLOOKUP(A138,'2025'!B:F,5,FALSE)</f>
        <v>Rajasthan Royals</v>
      </c>
    </row>
    <row r="139" spans="1:10" x14ac:dyDescent="0.3">
      <c r="A139" t="s">
        <v>147</v>
      </c>
      <c r="B139">
        <f>VLOOKUP(A139, '2025'!B:H, 2, FALSE)</f>
        <v>20000000</v>
      </c>
      <c r="C139">
        <f>IFERROR(VLOOKUP(A139,'2024'!B:G,4,FALSE),0)</f>
        <v>0</v>
      </c>
      <c r="D139">
        <f>IFERROR(VLOOKUP(A139,'2023'!B:G,4,FALSE),0)</f>
        <v>0</v>
      </c>
      <c r="E139">
        <f>IFERROR(VLOOKUP(A139,'2022'!B:G,4,FALSE),0)</f>
        <v>7000000</v>
      </c>
      <c r="F139" t="str">
        <f>IFERROR(VLOOKUP(A139,'2022'!B:G,3,FALSE),"Unknown")</f>
        <v>Bowler</v>
      </c>
      <c r="G139" t="str">
        <f>IFERROR(VLOOKUP(A139,'2023'!B:G,3,FALSE),"Unknown")</f>
        <v>Unknown</v>
      </c>
      <c r="H139" t="str">
        <f>IFERROR(VLOOKUP(A139,'2024'!B:G,3,FALSE),"Unknown")</f>
        <v>Unknown</v>
      </c>
      <c r="I139" t="str">
        <f t="shared" si="2"/>
        <v>Bowler</v>
      </c>
      <c r="J139" t="str">
        <f>VLOOKUP(A139,'2025'!B:F,5,FALSE)</f>
        <v>Rajasthan Royals</v>
      </c>
    </row>
    <row r="140" spans="1:10" x14ac:dyDescent="0.3">
      <c r="A140" t="s">
        <v>148</v>
      </c>
      <c r="B140">
        <f>VLOOKUP(A140, '2025'!B:H, 2, FALSE)</f>
        <v>15000000</v>
      </c>
      <c r="C140">
        <f>IFERROR(VLOOKUP(A140,'2024'!B:G,4,FALSE),0)</f>
        <v>0</v>
      </c>
      <c r="D140">
        <f>IFERROR(VLOOKUP(A140,'2023'!B:G,4,FALSE),0)</f>
        <v>0</v>
      </c>
      <c r="E140">
        <f>IFERROR(VLOOKUP(A140,'2022'!B:G,4,FALSE),0)</f>
        <v>80000000</v>
      </c>
      <c r="F140" t="str">
        <f>IFERROR(VLOOKUP(A140,'2022'!B:G,3,FALSE),"Unknown")</f>
        <v>All-Rounder</v>
      </c>
      <c r="G140" t="str">
        <f>IFERROR(VLOOKUP(A140,'2023'!B:G,3,FALSE),"Unknown")</f>
        <v>Unknown</v>
      </c>
      <c r="H140" t="str">
        <f>IFERROR(VLOOKUP(A140,'2024'!B:G,3,FALSE),"Unknown")</f>
        <v>Unknown</v>
      </c>
      <c r="I140" t="str">
        <f t="shared" si="2"/>
        <v>All-Rounder</v>
      </c>
      <c r="J140" t="str">
        <f>VLOOKUP(A140,'2025'!B:F,5,FALSE)</f>
        <v>Rajasthan Royals</v>
      </c>
    </row>
    <row r="141" spans="1:10" x14ac:dyDescent="0.3">
      <c r="A141" t="s">
        <v>149</v>
      </c>
      <c r="B141">
        <f>VLOOKUP(A141, '2025'!B:H, 2, FALSE)</f>
        <v>20000000</v>
      </c>
      <c r="C141">
        <f>IFERROR(VLOOKUP(A141,'2024'!B:G,4,FALSE),0)</f>
        <v>0</v>
      </c>
      <c r="D141">
        <f>IFERROR(VLOOKUP(A141,'2023'!B:G,4,FALSE),0)</f>
        <v>0</v>
      </c>
      <c r="E141">
        <f>IFERROR(VLOOKUP(A141,'2022'!B:G,4,FALSE),0)</f>
        <v>5000000</v>
      </c>
      <c r="F141" t="str">
        <f>IFERROR(VLOOKUP(A141,'2022'!B:G,3,FALSE),"Unknown")</f>
        <v>Bowler</v>
      </c>
      <c r="G141" t="str">
        <f>IFERROR(VLOOKUP(A141,'2023'!B:G,3,FALSE),"Unknown")</f>
        <v>Unknown</v>
      </c>
      <c r="H141" t="str">
        <f>IFERROR(VLOOKUP(A141,'2024'!B:G,3,FALSE),"Unknown")</f>
        <v>Unknown</v>
      </c>
      <c r="I141" t="str">
        <f t="shared" si="2"/>
        <v>Bowler</v>
      </c>
      <c r="J141" t="str">
        <f>VLOOKUP(A141,'2025'!B:F,5,FALSE)</f>
        <v>Rajasthan Royals</v>
      </c>
    </row>
    <row r="142" spans="1:10" x14ac:dyDescent="0.3">
      <c r="A142" t="s">
        <v>150</v>
      </c>
      <c r="B142">
        <f>VLOOKUP(A142, '2025'!B:H, 2, FALSE)</f>
        <v>7500000</v>
      </c>
      <c r="C142">
        <f>IFERROR(VLOOKUP(A142,'2024'!B:G,4,FALSE),0)</f>
        <v>0</v>
      </c>
      <c r="D142">
        <f>IFERROR(VLOOKUP(A142,'2023'!B:G,4,FALSE),0)</f>
        <v>0</v>
      </c>
      <c r="E142">
        <f>IFERROR(VLOOKUP(A142,'2022'!B:G,4,FALSE),0)</f>
        <v>0</v>
      </c>
      <c r="F142" t="str">
        <f>IFERROR(VLOOKUP(A142,'2022'!B:G,3,FALSE),"Unknown")</f>
        <v>Unknown</v>
      </c>
      <c r="G142" t="str">
        <f>IFERROR(VLOOKUP(A142,'2023'!B:G,3,FALSE),"Unknown")</f>
        <v>Unknown</v>
      </c>
      <c r="H142" t="str">
        <f>IFERROR(VLOOKUP(A142,'2024'!B:G,3,FALSE),"Unknown")</f>
        <v>Unknown</v>
      </c>
      <c r="I142" t="str">
        <f t="shared" si="2"/>
        <v>Unknown</v>
      </c>
      <c r="J142" t="str">
        <f>VLOOKUP(A142,'2025'!B:F,5,FALSE)</f>
        <v>Rajasthan Royals</v>
      </c>
    </row>
    <row r="143" spans="1:10" x14ac:dyDescent="0.3">
      <c r="A143" t="s">
        <v>151</v>
      </c>
      <c r="B143">
        <f>VLOOKUP(A143, '2025'!B:H, 2, FALSE)</f>
        <v>3000000</v>
      </c>
      <c r="C143">
        <f>IFERROR(VLOOKUP(A143,'2024'!B:G,4,FALSE),0)</f>
        <v>0</v>
      </c>
      <c r="D143">
        <f>IFERROR(VLOOKUP(A143,'2023'!B:G,4,FALSE),0)</f>
        <v>0</v>
      </c>
      <c r="E143">
        <f>IFERROR(VLOOKUP(A143,'2022'!B:G,4,FALSE),0)</f>
        <v>0</v>
      </c>
      <c r="F143" t="str">
        <f>IFERROR(VLOOKUP(A143,'2022'!B:G,3,FALSE),"Unknown")</f>
        <v>Unknown</v>
      </c>
      <c r="G143" t="str">
        <f>IFERROR(VLOOKUP(A143,'2023'!B:G,3,FALSE),"Unknown")</f>
        <v>Unknown</v>
      </c>
      <c r="H143" t="str">
        <f>IFERROR(VLOOKUP(A143,'2024'!B:G,3,FALSE),"Unknown")</f>
        <v>Unknown</v>
      </c>
      <c r="I143" t="str">
        <f t="shared" si="2"/>
        <v>Unknown</v>
      </c>
      <c r="J143" t="str">
        <f>VLOOKUP(A143,'2025'!B:F,5,FALSE)</f>
        <v>Rajasthan Royals</v>
      </c>
    </row>
    <row r="144" spans="1:10" x14ac:dyDescent="0.3">
      <c r="A144" t="s">
        <v>152</v>
      </c>
      <c r="B144">
        <f>VLOOKUP(A144, '2025'!B:H, 2, FALSE)</f>
        <v>3000000</v>
      </c>
      <c r="C144">
        <f>IFERROR(VLOOKUP(A144,'2024'!B:G,4,FALSE),0)</f>
        <v>0</v>
      </c>
      <c r="D144">
        <f>IFERROR(VLOOKUP(A144,'2023'!B:G,4,FALSE),0)</f>
        <v>0</v>
      </c>
      <c r="E144">
        <f>IFERROR(VLOOKUP(A144,'2022'!B:G,4,FALSE),0)</f>
        <v>0</v>
      </c>
      <c r="F144" t="str">
        <f>IFERROR(VLOOKUP(A144,'2022'!B:G,3,FALSE),"Unknown")</f>
        <v>Unknown</v>
      </c>
      <c r="G144" t="str">
        <f>IFERROR(VLOOKUP(A144,'2023'!B:G,3,FALSE),"Unknown")</f>
        <v>Unknown</v>
      </c>
      <c r="H144" t="str">
        <f>IFERROR(VLOOKUP(A144,'2024'!B:G,3,FALSE),"Unknown")</f>
        <v>Unknown</v>
      </c>
      <c r="I144" t="str">
        <f t="shared" si="2"/>
        <v>Unknown</v>
      </c>
      <c r="J144" t="str">
        <f>VLOOKUP(A144,'2025'!B:F,5,FALSE)</f>
        <v>Rajasthan Royals</v>
      </c>
    </row>
    <row r="145" spans="1:10" x14ac:dyDescent="0.3">
      <c r="A145" t="s">
        <v>153</v>
      </c>
      <c r="B145">
        <f>VLOOKUP(A145, '2025'!B:H, 2, FALSE)</f>
        <v>3000000</v>
      </c>
      <c r="C145">
        <f>IFERROR(VLOOKUP(A145,'2024'!B:G,4,FALSE),0)</f>
        <v>58000000</v>
      </c>
      <c r="D145">
        <f>IFERROR(VLOOKUP(A145,'2023'!B:G,4,FALSE),0)</f>
        <v>0</v>
      </c>
      <c r="E145">
        <f>IFERROR(VLOOKUP(A145,'2022'!B:G,4,FALSE),0)</f>
        <v>0</v>
      </c>
      <c r="F145" t="str">
        <f>IFERROR(VLOOKUP(A145,'2022'!B:G,3,FALSE),"Unknown")</f>
        <v>Unknown</v>
      </c>
      <c r="G145" t="str">
        <f>IFERROR(VLOOKUP(A145,'2023'!B:G,3,FALSE),"Unknown")</f>
        <v>Unknown</v>
      </c>
      <c r="H145" t="str">
        <f>IFERROR(VLOOKUP(A145,'2024'!B:G,3,FALSE),"Unknown")</f>
        <v>Batter</v>
      </c>
      <c r="I145" t="str">
        <f t="shared" si="2"/>
        <v>Batter</v>
      </c>
      <c r="J145" t="str">
        <f>VLOOKUP(A145,'2025'!B:F,5,FALSE)</f>
        <v>Rajasthan Royals</v>
      </c>
    </row>
    <row r="146" spans="1:10" x14ac:dyDescent="0.3">
      <c r="A146" t="s">
        <v>154</v>
      </c>
      <c r="B146">
        <f>VLOOKUP(A146, '2025'!B:H, 2, FALSE)</f>
        <v>3000000</v>
      </c>
      <c r="C146">
        <f>IFERROR(VLOOKUP(A146,'2024'!B:G,4,FALSE),0)</f>
        <v>0</v>
      </c>
      <c r="D146">
        <f>IFERROR(VLOOKUP(A146,'2023'!B:G,4,FALSE),0)</f>
        <v>2000000</v>
      </c>
      <c r="E146">
        <f>IFERROR(VLOOKUP(A146,'2022'!B:G,4,FALSE),0)</f>
        <v>0</v>
      </c>
      <c r="F146" t="str">
        <f>IFERROR(VLOOKUP(A146,'2022'!B:G,3,FALSE),"Unknown")</f>
        <v>Unknown</v>
      </c>
      <c r="G146" t="str">
        <f>IFERROR(VLOOKUP(A146,'2023'!B:G,3,FALSE),"Unknown")</f>
        <v>All-Rounder</v>
      </c>
      <c r="H146" t="str">
        <f>IFERROR(VLOOKUP(A146,'2024'!B:G,3,FALSE),"Unknown")</f>
        <v>Unknown</v>
      </c>
      <c r="I146" t="str">
        <f t="shared" si="2"/>
        <v>All-Rounder</v>
      </c>
      <c r="J146" t="str">
        <f>VLOOKUP(A146,'2025'!B:F,5,FALSE)</f>
        <v>Rajasthan Royals</v>
      </c>
    </row>
    <row r="147" spans="1:10" x14ac:dyDescent="0.3">
      <c r="A147" t="s">
        <v>155</v>
      </c>
      <c r="B147">
        <f>VLOOKUP(A147, '2025'!B:H, 2, FALSE)</f>
        <v>3000000</v>
      </c>
      <c r="C147">
        <f>IFERROR(VLOOKUP(A147,'2024'!B:G,4,FALSE),0)</f>
        <v>0</v>
      </c>
      <c r="D147">
        <f>IFERROR(VLOOKUP(A147,'2023'!B:G,4,FALSE),0)</f>
        <v>0</v>
      </c>
      <c r="E147">
        <f>IFERROR(VLOOKUP(A147,'2022'!B:G,4,FALSE),0)</f>
        <v>5500000</v>
      </c>
      <c r="F147" t="str">
        <f>IFERROR(VLOOKUP(A147,'2022'!B:G,3,FALSE),"Unknown")</f>
        <v>Bowler</v>
      </c>
      <c r="G147" t="str">
        <f>IFERROR(VLOOKUP(A147,'2023'!B:G,3,FALSE),"Unknown")</f>
        <v>Unknown</v>
      </c>
      <c r="H147" t="str">
        <f>IFERROR(VLOOKUP(A147,'2024'!B:G,3,FALSE),"Unknown")</f>
        <v>Unknown</v>
      </c>
      <c r="I147" t="str">
        <f t="shared" si="2"/>
        <v>Bowler</v>
      </c>
      <c r="J147" t="str">
        <f>VLOOKUP(A147,'2025'!B:F,5,FALSE)</f>
        <v>Rajasthan Royals</v>
      </c>
    </row>
    <row r="148" spans="1:10" x14ac:dyDescent="0.3">
      <c r="A148" t="s">
        <v>156</v>
      </c>
      <c r="B148">
        <f>VLOOKUP(A148, '2025'!B:H, 2, FALSE)</f>
        <v>3000000</v>
      </c>
      <c r="C148">
        <f>IFERROR(VLOOKUP(A148,'2024'!B:G,4,FALSE),0)</f>
        <v>0</v>
      </c>
      <c r="D148">
        <f>IFERROR(VLOOKUP(A148,'2023'!B:G,4,FALSE),0)</f>
        <v>2000000</v>
      </c>
      <c r="E148">
        <f>IFERROR(VLOOKUP(A148,'2022'!B:G,4,FALSE),0)</f>
        <v>0</v>
      </c>
      <c r="F148" t="str">
        <f>IFERROR(VLOOKUP(A148,'2022'!B:G,3,FALSE),"Unknown")</f>
        <v>Unknown</v>
      </c>
      <c r="G148" t="str">
        <f>IFERROR(VLOOKUP(A148,'2023'!B:G,3,FALSE),"Unknown")</f>
        <v>Wicket-Keeper</v>
      </c>
      <c r="H148" t="str">
        <f>IFERROR(VLOOKUP(A148,'2024'!B:G,3,FALSE),"Unknown")</f>
        <v>Unknown</v>
      </c>
      <c r="I148" t="str">
        <f t="shared" si="2"/>
        <v>Wicket-Keeper</v>
      </c>
      <c r="J148" t="str">
        <f>VLOOKUP(A148,'2025'!B:F,5,FALSE)</f>
        <v>Rajasthan Royals</v>
      </c>
    </row>
    <row r="149" spans="1:10" x14ac:dyDescent="0.3">
      <c r="A149" t="s">
        <v>157</v>
      </c>
      <c r="B149">
        <f>VLOOKUP(A149, '2025'!B:H, 2, FALSE)</f>
        <v>3000000</v>
      </c>
      <c r="C149">
        <f>IFERROR(VLOOKUP(A149,'2024'!B:G,4,FALSE),0)</f>
        <v>0</v>
      </c>
      <c r="D149">
        <f>IFERROR(VLOOKUP(A149,'2023'!B:G,4,FALSE),0)</f>
        <v>0</v>
      </c>
      <c r="E149">
        <f>IFERROR(VLOOKUP(A149,'2022'!B:G,4,FALSE),0)</f>
        <v>0</v>
      </c>
      <c r="F149" t="str">
        <f>IFERROR(VLOOKUP(A149,'2022'!B:G,3,FALSE),"Unknown")</f>
        <v>Unknown</v>
      </c>
      <c r="G149" t="str">
        <f>IFERROR(VLOOKUP(A149,'2023'!B:G,3,FALSE),"Unknown")</f>
        <v>Unknown</v>
      </c>
      <c r="H149" t="str">
        <f>IFERROR(VLOOKUP(A149,'2024'!B:G,3,FALSE),"Unknown")</f>
        <v>Unknown</v>
      </c>
      <c r="I149" t="str">
        <f t="shared" si="2"/>
        <v>Unknown</v>
      </c>
      <c r="J149" t="str">
        <f>VLOOKUP(A149,'2025'!B:F,5,FALSE)</f>
        <v>Rajasthan Royals</v>
      </c>
    </row>
    <row r="150" spans="1:10" x14ac:dyDescent="0.3">
      <c r="A150" t="s">
        <v>158</v>
      </c>
      <c r="B150">
        <f>VLOOKUP(A150, '2025'!B:H, 2, FALSE)</f>
        <v>20000000</v>
      </c>
      <c r="C150">
        <f>IFERROR(VLOOKUP(A150,'2024'!B:G,4,FALSE),0)</f>
        <v>0</v>
      </c>
      <c r="D150">
        <f>IFERROR(VLOOKUP(A150,'2023'!B:G,4,FALSE),0)</f>
        <v>0</v>
      </c>
      <c r="E150">
        <f>IFERROR(VLOOKUP(A150,'2022'!B:G,4,FALSE),0)</f>
        <v>77500000</v>
      </c>
      <c r="F150" t="str">
        <f>IFERROR(VLOOKUP(A150,'2022'!B:G,3,FALSE),"Unknown")</f>
        <v>Bowler</v>
      </c>
      <c r="G150" t="str">
        <f>IFERROR(VLOOKUP(A150,'2023'!B:G,3,FALSE),"Unknown")</f>
        <v>Unknown</v>
      </c>
      <c r="H150" t="str">
        <f>IFERROR(VLOOKUP(A150,'2024'!B:G,3,FALSE),"Unknown")</f>
        <v>Unknown</v>
      </c>
      <c r="I150" t="str">
        <f t="shared" si="2"/>
        <v>Bowler</v>
      </c>
      <c r="J150" t="str">
        <f>VLOOKUP(A150,'2025'!B:F,5,FALSE)</f>
        <v>Royal Challengers Bengaluru</v>
      </c>
    </row>
    <row r="151" spans="1:10" x14ac:dyDescent="0.3">
      <c r="A151" t="s">
        <v>160</v>
      </c>
      <c r="B151">
        <f>VLOOKUP(A151, '2025'!B:H, 2, FALSE)</f>
        <v>20000000</v>
      </c>
      <c r="C151">
        <f>IFERROR(VLOOKUP(A151,'2024'!B:G,4,FALSE),0)</f>
        <v>0</v>
      </c>
      <c r="D151">
        <f>IFERROR(VLOOKUP(A151,'2023'!B:G,4,FALSE),0)</f>
        <v>20000000</v>
      </c>
      <c r="E151">
        <f>IFERROR(VLOOKUP(A151,'2022'!B:G,4,FALSE),0)</f>
        <v>0</v>
      </c>
      <c r="F151" t="str">
        <f>IFERROR(VLOOKUP(A151,'2022'!B:G,3,FALSE),"Unknown")</f>
        <v>Unknown</v>
      </c>
      <c r="G151" t="str">
        <f>IFERROR(VLOOKUP(A151,'2023'!B:G,3,FALSE),"Unknown")</f>
        <v>Wicket-Keeper</v>
      </c>
      <c r="H151" t="str">
        <f>IFERROR(VLOOKUP(A151,'2024'!B:G,3,FALSE),"Unknown")</f>
        <v>Unknown</v>
      </c>
      <c r="I151" t="str">
        <f t="shared" si="2"/>
        <v>Wicket-Keeper</v>
      </c>
      <c r="J151" t="str">
        <f>VLOOKUP(A151,'2025'!B:F,5,FALSE)</f>
        <v>Royal Challengers Bengaluru</v>
      </c>
    </row>
    <row r="152" spans="1:10" x14ac:dyDescent="0.3">
      <c r="A152" t="s">
        <v>161</v>
      </c>
      <c r="B152">
        <f>VLOOKUP(A152, '2025'!B:H, 2, FALSE)</f>
        <v>10000000</v>
      </c>
      <c r="C152">
        <f>IFERROR(VLOOKUP(A152,'2024'!B:G,4,FALSE),0)</f>
        <v>0</v>
      </c>
      <c r="D152">
        <f>IFERROR(VLOOKUP(A152,'2023'!B:G,4,FALSE),0)</f>
        <v>0</v>
      </c>
      <c r="E152">
        <f>IFERROR(VLOOKUP(A152,'2022'!B:G,4,FALSE),0)</f>
        <v>2000000</v>
      </c>
      <c r="F152" t="str">
        <f>IFERROR(VLOOKUP(A152,'2022'!B:G,3,FALSE),"Unknown")</f>
        <v>Wicket Keeper</v>
      </c>
      <c r="G152" t="str">
        <f>IFERROR(VLOOKUP(A152,'2023'!B:G,3,FALSE),"Unknown")</f>
        <v>Unknown</v>
      </c>
      <c r="H152" t="str">
        <f>IFERROR(VLOOKUP(A152,'2024'!B:G,3,FALSE),"Unknown")</f>
        <v>Unknown</v>
      </c>
      <c r="I152" t="str">
        <f t="shared" si="2"/>
        <v>Wicket Keeper</v>
      </c>
      <c r="J152" t="str">
        <f>VLOOKUP(A152,'2025'!B:F,5,FALSE)</f>
        <v>Royal Challengers Bengaluru</v>
      </c>
    </row>
    <row r="153" spans="1:10" x14ac:dyDescent="0.3">
      <c r="A153" t="s">
        <v>162</v>
      </c>
      <c r="B153">
        <f>VLOOKUP(A153, '2025'!B:H, 2, FALSE)</f>
        <v>20000000</v>
      </c>
      <c r="C153">
        <f>IFERROR(VLOOKUP(A153,'2024'!B:G,4,FALSE),0)</f>
        <v>0</v>
      </c>
      <c r="D153">
        <f>IFERROR(VLOOKUP(A153,'2023'!B:G,4,FALSE),0)</f>
        <v>0</v>
      </c>
      <c r="E153">
        <f>IFERROR(VLOOKUP(A153,'2022'!B:G,4,FALSE),0)</f>
        <v>42000000</v>
      </c>
      <c r="F153" t="str">
        <f>IFERROR(VLOOKUP(A153,'2022'!B:G,3,FALSE),"Unknown")</f>
        <v>Bowler</v>
      </c>
      <c r="G153" t="str">
        <f>IFERROR(VLOOKUP(A153,'2023'!B:G,3,FALSE),"Unknown")</f>
        <v>Unknown</v>
      </c>
      <c r="H153" t="str">
        <f>IFERROR(VLOOKUP(A153,'2024'!B:G,3,FALSE),"Unknown")</f>
        <v>Unknown</v>
      </c>
      <c r="I153" t="str">
        <f t="shared" si="2"/>
        <v>Bowler</v>
      </c>
      <c r="J153" t="str">
        <f>VLOOKUP(A153,'2025'!B:F,5,FALSE)</f>
        <v>Royal Challengers Bengaluru</v>
      </c>
    </row>
    <row r="154" spans="1:10" x14ac:dyDescent="0.3">
      <c r="A154" t="s">
        <v>163</v>
      </c>
      <c r="B154">
        <f>VLOOKUP(A154, '2025'!B:H, 2, FALSE)</f>
        <v>20000000</v>
      </c>
      <c r="C154">
        <f>IFERROR(VLOOKUP(A154,'2024'!B:G,4,FALSE),0)</f>
        <v>0</v>
      </c>
      <c r="D154">
        <f>IFERROR(VLOOKUP(A154,'2023'!B:G,4,FALSE),0)</f>
        <v>0</v>
      </c>
      <c r="E154">
        <f>IFERROR(VLOOKUP(A154,'2022'!B:G,4,FALSE),0)</f>
        <v>115000000</v>
      </c>
      <c r="F154" t="str">
        <f>IFERROR(VLOOKUP(A154,'2022'!B:G,3,FALSE),"Unknown")</f>
        <v>All-Rounder</v>
      </c>
      <c r="G154" t="str">
        <f>IFERROR(VLOOKUP(A154,'2023'!B:G,3,FALSE),"Unknown")</f>
        <v>Unknown</v>
      </c>
      <c r="H154" t="str">
        <f>IFERROR(VLOOKUP(A154,'2024'!B:G,3,FALSE),"Unknown")</f>
        <v>Unknown</v>
      </c>
      <c r="I154" t="str">
        <f t="shared" si="2"/>
        <v>All-Rounder</v>
      </c>
      <c r="J154" t="str">
        <f>VLOOKUP(A154,'2025'!B:F,5,FALSE)</f>
        <v>Royal Challengers Bengaluru</v>
      </c>
    </row>
    <row r="155" spans="1:10" x14ac:dyDescent="0.3">
      <c r="A155" t="s">
        <v>164</v>
      </c>
      <c r="B155">
        <f>VLOOKUP(A155, '2025'!B:H, 2, FALSE)</f>
        <v>3000000</v>
      </c>
      <c r="C155">
        <f>IFERROR(VLOOKUP(A155,'2024'!B:G,4,FALSE),0)</f>
        <v>2000000</v>
      </c>
      <c r="D155">
        <f>IFERROR(VLOOKUP(A155,'2023'!B:G,4,FALSE),0)</f>
        <v>0</v>
      </c>
      <c r="E155">
        <f>IFERROR(VLOOKUP(A155,'2022'!B:G,4,FALSE),0)</f>
        <v>2000000</v>
      </c>
      <c r="F155" t="str">
        <f>IFERROR(VLOOKUP(A155,'2022'!B:G,3,FALSE),"Unknown")</f>
        <v>Bowler</v>
      </c>
      <c r="G155" t="str">
        <f>IFERROR(VLOOKUP(A155,'2023'!B:G,3,FALSE),"Unknown")</f>
        <v>Unknown</v>
      </c>
      <c r="H155" t="str">
        <f>IFERROR(VLOOKUP(A155,'2024'!B:G,3,FALSE),"Unknown")</f>
        <v>Bowler</v>
      </c>
      <c r="I155" t="str">
        <f t="shared" si="2"/>
        <v>Bowler</v>
      </c>
      <c r="J155" t="str">
        <f>VLOOKUP(A155,'2025'!B:F,5,FALSE)</f>
        <v>Royal Challengers Bengaluru</v>
      </c>
    </row>
    <row r="156" spans="1:10" x14ac:dyDescent="0.3">
      <c r="A156" t="s">
        <v>165</v>
      </c>
      <c r="B156">
        <f>VLOOKUP(A156, '2025'!B:H, 2, FALSE)</f>
        <v>20000000</v>
      </c>
      <c r="C156">
        <f>IFERROR(VLOOKUP(A156,'2024'!B:G,4,FALSE),0)</f>
        <v>0</v>
      </c>
      <c r="D156">
        <f>IFERROR(VLOOKUP(A156,'2023'!B:G,4,FALSE),0)</f>
        <v>0</v>
      </c>
      <c r="E156">
        <f>IFERROR(VLOOKUP(A156,'2022'!B:G,4,FALSE),0)</f>
        <v>82500000</v>
      </c>
      <c r="F156" t="str">
        <f>IFERROR(VLOOKUP(A156,'2022'!B:G,3,FALSE),"Unknown")</f>
        <v>All-Rounder</v>
      </c>
      <c r="G156" t="str">
        <f>IFERROR(VLOOKUP(A156,'2023'!B:G,3,FALSE),"Unknown")</f>
        <v>Unknown</v>
      </c>
      <c r="H156" t="str">
        <f>IFERROR(VLOOKUP(A156,'2024'!B:G,3,FALSE),"Unknown")</f>
        <v>Unknown</v>
      </c>
      <c r="I156" t="str">
        <f t="shared" si="2"/>
        <v>All-Rounder</v>
      </c>
      <c r="J156" t="str">
        <f>VLOOKUP(A156,'2025'!B:F,5,FALSE)</f>
        <v>Royal Challengers Bengaluru</v>
      </c>
    </row>
    <row r="157" spans="1:10" x14ac:dyDescent="0.3">
      <c r="A157" t="s">
        <v>166</v>
      </c>
      <c r="B157">
        <f>VLOOKUP(A157, '2025'!B:H, 2, FALSE)</f>
        <v>20000000</v>
      </c>
      <c r="C157">
        <f>IFERROR(VLOOKUP(A157,'2024'!B:G,4,FALSE),0)</f>
        <v>0</v>
      </c>
      <c r="D157">
        <f>IFERROR(VLOOKUP(A157,'2023'!B:G,4,FALSE),0)</f>
        <v>0</v>
      </c>
      <c r="E157">
        <f>IFERROR(VLOOKUP(A157,'2022'!B:G,4,FALSE),0)</f>
        <v>82500000</v>
      </c>
      <c r="F157" t="str">
        <f>IFERROR(VLOOKUP(A157,'2022'!B:G,3,FALSE),"Unknown")</f>
        <v>All-Rounder</v>
      </c>
      <c r="G157" t="str">
        <f>IFERROR(VLOOKUP(A157,'2023'!B:G,3,FALSE),"Unknown")</f>
        <v>Unknown</v>
      </c>
      <c r="H157" t="str">
        <f>IFERROR(VLOOKUP(A157,'2024'!B:G,3,FALSE),"Unknown")</f>
        <v>Unknown</v>
      </c>
      <c r="I157" t="str">
        <f t="shared" si="2"/>
        <v>All-Rounder</v>
      </c>
      <c r="J157" t="str">
        <f>VLOOKUP(A157,'2025'!B:F,5,FALSE)</f>
        <v>Royal Challengers Bengaluru</v>
      </c>
    </row>
    <row r="158" spans="1:10" x14ac:dyDescent="0.3">
      <c r="A158" t="s">
        <v>167</v>
      </c>
      <c r="B158">
        <f>VLOOKUP(A158, '2025'!B:H, 2, FALSE)</f>
        <v>12500000</v>
      </c>
      <c r="C158">
        <f>IFERROR(VLOOKUP(A158,'2024'!B:G,4,FALSE),0)</f>
        <v>0</v>
      </c>
      <c r="D158">
        <f>IFERROR(VLOOKUP(A158,'2023'!B:G,4,FALSE),0)</f>
        <v>0</v>
      </c>
      <c r="E158">
        <f>IFERROR(VLOOKUP(A158,'2022'!B:G,4,FALSE),0)</f>
        <v>0</v>
      </c>
      <c r="F158" t="str">
        <f>IFERROR(VLOOKUP(A158,'2022'!B:G,3,FALSE),"Unknown")</f>
        <v>Unknown</v>
      </c>
      <c r="G158" t="str">
        <f>IFERROR(VLOOKUP(A158,'2023'!B:G,3,FALSE),"Unknown")</f>
        <v>Unknown</v>
      </c>
      <c r="H158" t="str">
        <f>IFERROR(VLOOKUP(A158,'2024'!B:G,3,FALSE),"Unknown")</f>
        <v>Unknown</v>
      </c>
      <c r="I158" t="str">
        <f t="shared" si="2"/>
        <v>Unknown</v>
      </c>
      <c r="J158" t="str">
        <f>VLOOKUP(A158,'2025'!B:F,5,FALSE)</f>
        <v>Royal Challengers Bengaluru</v>
      </c>
    </row>
    <row r="159" spans="1:10" x14ac:dyDescent="0.3">
      <c r="A159" t="s">
        <v>168</v>
      </c>
      <c r="B159">
        <f>VLOOKUP(A159, '2025'!B:H, 2, FALSE)</f>
        <v>3000000</v>
      </c>
      <c r="C159">
        <f>IFERROR(VLOOKUP(A159,'2024'!B:G,4,FALSE),0)</f>
        <v>0</v>
      </c>
      <c r="D159">
        <f>IFERROR(VLOOKUP(A159,'2023'!B:G,4,FALSE),0)</f>
        <v>2000000</v>
      </c>
      <c r="E159">
        <f>IFERROR(VLOOKUP(A159,'2022'!B:G,4,FALSE),0)</f>
        <v>0</v>
      </c>
      <c r="F159" t="str">
        <f>IFERROR(VLOOKUP(A159,'2022'!B:G,3,FALSE),"Unknown")</f>
        <v>Unknown</v>
      </c>
      <c r="G159" t="str">
        <f>IFERROR(VLOOKUP(A159,'2023'!B:G,3,FALSE),"Unknown")</f>
        <v>Bowler</v>
      </c>
      <c r="H159" t="str">
        <f>IFERROR(VLOOKUP(A159,'2024'!B:G,3,FALSE),"Unknown")</f>
        <v>Unknown</v>
      </c>
      <c r="I159" t="str">
        <f t="shared" si="2"/>
        <v>Bowler</v>
      </c>
      <c r="J159" t="str">
        <f>VLOOKUP(A159,'2025'!B:F,5,FALSE)</f>
        <v>Royal Challengers Bengaluru</v>
      </c>
    </row>
    <row r="160" spans="1:10" x14ac:dyDescent="0.3">
      <c r="A160" t="s">
        <v>169</v>
      </c>
      <c r="B160">
        <f>VLOOKUP(A160, '2025'!B:H, 2, FALSE)</f>
        <v>20000000</v>
      </c>
      <c r="C160">
        <f>IFERROR(VLOOKUP(A160,'2024'!B:G,4,FALSE),0)</f>
        <v>0</v>
      </c>
      <c r="D160">
        <f>IFERROR(VLOOKUP(A160,'2023'!B:G,4,FALSE),0)</f>
        <v>0</v>
      </c>
      <c r="E160">
        <f>IFERROR(VLOOKUP(A160,'2022'!B:G,4,FALSE),0)</f>
        <v>77500000</v>
      </c>
      <c r="F160" t="str">
        <f>IFERROR(VLOOKUP(A160,'2022'!B:G,3,FALSE),"Unknown")</f>
        <v>Batsman</v>
      </c>
      <c r="G160" t="str">
        <f>IFERROR(VLOOKUP(A160,'2023'!B:G,3,FALSE),"Unknown")</f>
        <v>Unknown</v>
      </c>
      <c r="H160" t="str">
        <f>IFERROR(VLOOKUP(A160,'2024'!B:G,3,FALSE),"Unknown")</f>
        <v>Unknown</v>
      </c>
      <c r="I160" t="str">
        <f t="shared" ref="I160:I183" si="3">IF(F160&lt;&gt;"Unknown",F160,IF(G160&lt;&gt;"Unknown",G160,H160))</f>
        <v>Batsman</v>
      </c>
      <c r="J160" t="str">
        <f>VLOOKUP(A160,'2025'!B:F,5,FALSE)</f>
        <v>Royal Challengers Bengaluru</v>
      </c>
    </row>
    <row r="161" spans="1:10" x14ac:dyDescent="0.3">
      <c r="A161" t="s">
        <v>170</v>
      </c>
      <c r="B161">
        <f>VLOOKUP(A161, '2025'!B:H, 2, FALSE)</f>
        <v>7500000</v>
      </c>
      <c r="C161">
        <f>IFERROR(VLOOKUP(A161,'2024'!B:G,4,FALSE),0)</f>
        <v>48000000</v>
      </c>
      <c r="D161">
        <f>IFERROR(VLOOKUP(A161,'2023'!B:G,4,FALSE),0)</f>
        <v>0</v>
      </c>
      <c r="E161">
        <f>IFERROR(VLOOKUP(A161,'2022'!B:G,4,FALSE),0)</f>
        <v>0</v>
      </c>
      <c r="F161" t="str">
        <f>IFERROR(VLOOKUP(A161,'2022'!B:G,3,FALSE),"Unknown")</f>
        <v>Unknown</v>
      </c>
      <c r="G161" t="str">
        <f>IFERROR(VLOOKUP(A161,'2023'!B:G,3,FALSE),"Unknown")</f>
        <v>Unknown</v>
      </c>
      <c r="H161" t="str">
        <f>IFERROR(VLOOKUP(A161,'2024'!B:G,3,FALSE),"Unknown")</f>
        <v>Bowler</v>
      </c>
      <c r="I161" t="str">
        <f t="shared" si="3"/>
        <v>Bowler</v>
      </c>
      <c r="J161" t="str">
        <f>VLOOKUP(A161,'2025'!B:F,5,FALSE)</f>
        <v>Royal Challengers Bengaluru</v>
      </c>
    </row>
    <row r="162" spans="1:10" x14ac:dyDescent="0.3">
      <c r="A162" t="s">
        <v>171</v>
      </c>
      <c r="B162">
        <f>VLOOKUP(A162, '2025'!B:H, 2, FALSE)</f>
        <v>15000000</v>
      </c>
      <c r="C162">
        <f>IFERROR(VLOOKUP(A162,'2024'!B:G,4,FALSE),0)</f>
        <v>0</v>
      </c>
      <c r="D162">
        <f>IFERROR(VLOOKUP(A162,'2023'!B:G,4,FALSE),0)</f>
        <v>5000000</v>
      </c>
      <c r="E162">
        <f>IFERROR(VLOOKUP(A162,'2022'!B:G,4,FALSE),0)</f>
        <v>77500000</v>
      </c>
      <c r="F162" t="str">
        <f>IFERROR(VLOOKUP(A162,'2022'!B:G,3,FALSE),"Unknown")</f>
        <v>All-Rounder</v>
      </c>
      <c r="G162" t="str">
        <f>IFERROR(VLOOKUP(A162,'2023'!B:G,3,FALSE),"Unknown")</f>
        <v>All-Rounder</v>
      </c>
      <c r="H162" t="str">
        <f>IFERROR(VLOOKUP(A162,'2024'!B:G,3,FALSE),"Unknown")</f>
        <v>Unknown</v>
      </c>
      <c r="I162" t="str">
        <f t="shared" si="3"/>
        <v>All-Rounder</v>
      </c>
      <c r="J162" t="str">
        <f>VLOOKUP(A162,'2025'!B:F,5,FALSE)</f>
        <v>Royal Challengers Bengaluru</v>
      </c>
    </row>
    <row r="163" spans="1:10" x14ac:dyDescent="0.3">
      <c r="A163" t="s">
        <v>172</v>
      </c>
      <c r="B163">
        <f>VLOOKUP(A163, '2025'!B:H, 2, FALSE)</f>
        <v>10000000</v>
      </c>
      <c r="C163">
        <f>IFERROR(VLOOKUP(A163,'2024'!B:G,4,FALSE),0)</f>
        <v>0</v>
      </c>
      <c r="D163">
        <f>IFERROR(VLOOKUP(A163,'2023'!B:G,4,FALSE),0)</f>
        <v>0</v>
      </c>
      <c r="E163">
        <f>IFERROR(VLOOKUP(A163,'2022'!B:G,4,FALSE),0)</f>
        <v>5000000</v>
      </c>
      <c r="F163" t="str">
        <f>IFERROR(VLOOKUP(A163,'2022'!B:G,3,FALSE),"Unknown")</f>
        <v>Bowler</v>
      </c>
      <c r="G163" t="str">
        <f>IFERROR(VLOOKUP(A163,'2023'!B:G,3,FALSE),"Unknown")</f>
        <v>Unknown</v>
      </c>
      <c r="H163" t="str">
        <f>IFERROR(VLOOKUP(A163,'2024'!B:G,3,FALSE),"Unknown")</f>
        <v>Unknown</v>
      </c>
      <c r="I163" t="str">
        <f t="shared" si="3"/>
        <v>Bowler</v>
      </c>
      <c r="J163" t="str">
        <f>VLOOKUP(A163,'2025'!B:F,5,FALSE)</f>
        <v>Royal Challengers Bengaluru</v>
      </c>
    </row>
    <row r="164" spans="1:10" x14ac:dyDescent="0.3">
      <c r="A164" t="s">
        <v>173</v>
      </c>
      <c r="B164">
        <f>VLOOKUP(A164, '2025'!B:H, 2, FALSE)</f>
        <v>3000000</v>
      </c>
      <c r="C164">
        <f>IFERROR(VLOOKUP(A164,'2024'!B:G,4,FALSE),0)</f>
        <v>2000000</v>
      </c>
      <c r="D164">
        <f>IFERROR(VLOOKUP(A164,'2023'!B:G,4,FALSE),0)</f>
        <v>2000000</v>
      </c>
      <c r="E164">
        <f>IFERROR(VLOOKUP(A164,'2022'!B:G,4,FALSE),0)</f>
        <v>0</v>
      </c>
      <c r="F164" t="str">
        <f>IFERROR(VLOOKUP(A164,'2022'!B:G,3,FALSE),"Unknown")</f>
        <v>Unknown</v>
      </c>
      <c r="G164" t="str">
        <f>IFERROR(VLOOKUP(A164,'2023'!B:G,3,FALSE),"Unknown")</f>
        <v>All-Rounder</v>
      </c>
      <c r="H164" t="str">
        <f>IFERROR(VLOOKUP(A164,'2024'!B:G,3,FALSE),"Unknown")</f>
        <v>All-Rounder</v>
      </c>
      <c r="I164" t="str">
        <f t="shared" si="3"/>
        <v>All-Rounder</v>
      </c>
      <c r="J164" t="str">
        <f>VLOOKUP(A164,'2025'!B:F,5,FALSE)</f>
        <v>Royal Challengers Bengaluru</v>
      </c>
    </row>
    <row r="165" spans="1:10" x14ac:dyDescent="0.3">
      <c r="A165" t="s">
        <v>174</v>
      </c>
      <c r="B165">
        <f>VLOOKUP(A165, '2025'!B:H, 2, FALSE)</f>
        <v>3000000</v>
      </c>
      <c r="C165">
        <f>IFERROR(VLOOKUP(A165,'2024'!B:G,4,FALSE),0)</f>
        <v>0</v>
      </c>
      <c r="D165">
        <f>IFERROR(VLOOKUP(A165,'2023'!B:G,4,FALSE),0)</f>
        <v>2000000</v>
      </c>
      <c r="E165">
        <f>IFERROR(VLOOKUP(A165,'2022'!B:G,4,FALSE),0)</f>
        <v>0</v>
      </c>
      <c r="F165" t="str">
        <f>IFERROR(VLOOKUP(A165,'2022'!B:G,3,FALSE),"Unknown")</f>
        <v>Unknown</v>
      </c>
      <c r="G165" t="str">
        <f>IFERROR(VLOOKUP(A165,'2023'!B:G,3,FALSE),"Unknown")</f>
        <v>All-Rounder</v>
      </c>
      <c r="H165" t="str">
        <f>IFERROR(VLOOKUP(A165,'2024'!B:G,3,FALSE),"Unknown")</f>
        <v>Unknown</v>
      </c>
      <c r="I165" t="str">
        <f t="shared" si="3"/>
        <v>All-Rounder</v>
      </c>
      <c r="J165" t="str">
        <f>VLOOKUP(A165,'2025'!B:F,5,FALSE)</f>
        <v>Royal Challengers Bengaluru</v>
      </c>
    </row>
    <row r="166" spans="1:10" x14ac:dyDescent="0.3">
      <c r="A166" t="s">
        <v>175</v>
      </c>
      <c r="B166">
        <f>VLOOKUP(A166, '2025'!B:H, 2, FALSE)</f>
        <v>3000000</v>
      </c>
      <c r="C166">
        <f>IFERROR(VLOOKUP(A166,'2024'!B:G,4,FALSE),0)</f>
        <v>0</v>
      </c>
      <c r="D166">
        <f>IFERROR(VLOOKUP(A166,'2023'!B:G,4,FALSE),0)</f>
        <v>0</v>
      </c>
      <c r="E166">
        <f>IFERROR(VLOOKUP(A166,'2022'!B:G,4,FALSE),0)</f>
        <v>0</v>
      </c>
      <c r="F166" t="str">
        <f>IFERROR(VLOOKUP(A166,'2022'!B:G,3,FALSE),"Unknown")</f>
        <v>Unknown</v>
      </c>
      <c r="G166" t="str">
        <f>IFERROR(VLOOKUP(A166,'2023'!B:G,3,FALSE),"Unknown")</f>
        <v>Unknown</v>
      </c>
      <c r="H166" t="str">
        <f>IFERROR(VLOOKUP(A166,'2024'!B:G,3,FALSE),"Unknown")</f>
        <v>Unknown</v>
      </c>
      <c r="I166" t="str">
        <f t="shared" si="3"/>
        <v>Unknown</v>
      </c>
      <c r="J166" t="str">
        <f>VLOOKUP(A166,'2025'!B:F,5,FALSE)</f>
        <v>Royal Challengers Bengaluru</v>
      </c>
    </row>
    <row r="167" spans="1:10" x14ac:dyDescent="0.3">
      <c r="A167" t="s">
        <v>176</v>
      </c>
      <c r="B167">
        <f>VLOOKUP(A167, '2025'!B:H, 2, FALSE)</f>
        <v>3000000</v>
      </c>
      <c r="C167">
        <f>IFERROR(VLOOKUP(A167,'2024'!B:G,4,FALSE),0)</f>
        <v>2000000</v>
      </c>
      <c r="D167">
        <f>IFERROR(VLOOKUP(A167,'2023'!B:G,4,FALSE),0)</f>
        <v>0</v>
      </c>
      <c r="E167">
        <f>IFERROR(VLOOKUP(A167,'2022'!B:G,4,FALSE),0)</f>
        <v>0</v>
      </c>
      <c r="F167" t="str">
        <f>IFERROR(VLOOKUP(A167,'2022'!B:G,3,FALSE),"Unknown")</f>
        <v>Unknown</v>
      </c>
      <c r="G167" t="str">
        <f>IFERROR(VLOOKUP(A167,'2023'!B:G,3,FALSE),"Unknown")</f>
        <v>Unknown</v>
      </c>
      <c r="H167" t="str">
        <f>IFERROR(VLOOKUP(A167,'2024'!B:G,3,FALSE),"Unknown")</f>
        <v>Batter</v>
      </c>
      <c r="I167" t="str">
        <f t="shared" si="3"/>
        <v>Batter</v>
      </c>
      <c r="J167" t="str">
        <f>VLOOKUP(A167,'2025'!B:F,5,FALSE)</f>
        <v>Royal Challengers Bengaluru</v>
      </c>
    </row>
    <row r="168" spans="1:10" x14ac:dyDescent="0.3">
      <c r="A168" t="s">
        <v>177</v>
      </c>
      <c r="B168">
        <f>VLOOKUP(A168, '2025'!B:H, 2, FALSE)</f>
        <v>3000000</v>
      </c>
      <c r="C168">
        <f>IFERROR(VLOOKUP(A168,'2024'!B:G,4,FALSE),0)</f>
        <v>0</v>
      </c>
      <c r="D168">
        <f>IFERROR(VLOOKUP(A168,'2023'!B:G,4,FALSE),0)</f>
        <v>2000000</v>
      </c>
      <c r="E168">
        <f>IFERROR(VLOOKUP(A168,'2022'!B:G,4,FALSE),0)</f>
        <v>0</v>
      </c>
      <c r="F168" t="str">
        <f>IFERROR(VLOOKUP(A168,'2022'!B:G,3,FALSE),"Unknown")</f>
        <v>Unknown</v>
      </c>
      <c r="G168" t="str">
        <f>IFERROR(VLOOKUP(A168,'2023'!B:G,3,FALSE),"Unknown")</f>
        <v>All-Rounder</v>
      </c>
      <c r="H168" t="str">
        <f>IFERROR(VLOOKUP(A168,'2024'!B:G,3,FALSE),"Unknown")</f>
        <v>Unknown</v>
      </c>
      <c r="I168" t="str">
        <f t="shared" si="3"/>
        <v>All-Rounder</v>
      </c>
      <c r="J168" t="str">
        <f>VLOOKUP(A168,'2025'!B:F,5,FALSE)</f>
        <v>Royal Challengers Bengaluru</v>
      </c>
    </row>
    <row r="169" spans="1:10" x14ac:dyDescent="0.3">
      <c r="A169" t="s">
        <v>178</v>
      </c>
      <c r="B169">
        <f>VLOOKUP(A169, '2025'!B:H, 2, FALSE)</f>
        <v>20000000</v>
      </c>
      <c r="C169">
        <f>IFERROR(VLOOKUP(A169,'2024'!B:G,4,FALSE),0)</f>
        <v>0</v>
      </c>
      <c r="D169">
        <f>IFERROR(VLOOKUP(A169,'2023'!B:G,4,FALSE),0)</f>
        <v>0</v>
      </c>
      <c r="E169">
        <f>IFERROR(VLOOKUP(A169,'2022'!B:G,4,FALSE),0)</f>
        <v>152500000</v>
      </c>
      <c r="F169" t="str">
        <f>IFERROR(VLOOKUP(A169,'2022'!B:G,3,FALSE),"Unknown")</f>
        <v>Wicket Keeper</v>
      </c>
      <c r="G169" t="str">
        <f>IFERROR(VLOOKUP(A169,'2023'!B:G,3,FALSE),"Unknown")</f>
        <v>Unknown</v>
      </c>
      <c r="H169" t="str">
        <f>IFERROR(VLOOKUP(A169,'2024'!B:G,3,FALSE),"Unknown")</f>
        <v>Unknown</v>
      </c>
      <c r="I169" t="str">
        <f t="shared" si="3"/>
        <v>Wicket Keeper</v>
      </c>
      <c r="J169" t="str">
        <f>VLOOKUP(A169,'2025'!B:F,5,FALSE)</f>
        <v>Sunrisers Hyderabad</v>
      </c>
    </row>
    <row r="170" spans="1:10" x14ac:dyDescent="0.3">
      <c r="A170" t="s">
        <v>180</v>
      </c>
      <c r="B170">
        <f>VLOOKUP(A170, '2025'!B:H, 2, FALSE)</f>
        <v>20000000</v>
      </c>
      <c r="C170">
        <f>IFERROR(VLOOKUP(A170,'2024'!B:G,4,FALSE),0)</f>
        <v>0</v>
      </c>
      <c r="D170">
        <f>IFERROR(VLOOKUP(A170,'2023'!B:G,4,FALSE),0)</f>
        <v>0</v>
      </c>
      <c r="E170">
        <f>IFERROR(VLOOKUP(A170,'2022'!B:G,4,FALSE),0)</f>
        <v>62500000</v>
      </c>
      <c r="F170" t="str">
        <f>IFERROR(VLOOKUP(A170,'2022'!B:G,3,FALSE),"Unknown")</f>
        <v>Bowler</v>
      </c>
      <c r="G170" t="str">
        <f>IFERROR(VLOOKUP(A170,'2023'!B:G,3,FALSE),"Unknown")</f>
        <v>Unknown</v>
      </c>
      <c r="H170" t="str">
        <f>IFERROR(VLOOKUP(A170,'2024'!B:G,3,FALSE),"Unknown")</f>
        <v>Unknown</v>
      </c>
      <c r="I170" t="str">
        <f t="shared" si="3"/>
        <v>Bowler</v>
      </c>
      <c r="J170" t="str">
        <f>VLOOKUP(A170,'2025'!B:F,5,FALSE)</f>
        <v>Sunrisers Hyderabad</v>
      </c>
    </row>
    <row r="171" spans="1:10" x14ac:dyDescent="0.3">
      <c r="A171" t="s">
        <v>181</v>
      </c>
      <c r="B171">
        <f>VLOOKUP(A171, '2025'!B:H, 2, FALSE)</f>
        <v>20000000</v>
      </c>
      <c r="C171">
        <f>IFERROR(VLOOKUP(A171,'2024'!B:G,4,FALSE),0)</f>
        <v>117500000</v>
      </c>
      <c r="D171">
        <f>IFERROR(VLOOKUP(A171,'2023'!B:G,4,FALSE),0)</f>
        <v>0</v>
      </c>
      <c r="E171">
        <f>IFERROR(VLOOKUP(A171,'2022'!B:G,4,FALSE),0)</f>
        <v>107500000</v>
      </c>
      <c r="F171" t="str">
        <f>IFERROR(VLOOKUP(A171,'2022'!B:G,3,FALSE),"Unknown")</f>
        <v>All-Rounder</v>
      </c>
      <c r="G171" t="str">
        <f>IFERROR(VLOOKUP(A171,'2023'!B:G,3,FALSE),"Unknown")</f>
        <v>Unknown</v>
      </c>
      <c r="H171" t="str">
        <f>IFERROR(VLOOKUP(A171,'2024'!B:G,3,FALSE),"Unknown")</f>
        <v>All-Rounder</v>
      </c>
      <c r="I171" t="str">
        <f t="shared" si="3"/>
        <v>All-Rounder</v>
      </c>
      <c r="J171" t="str">
        <f>VLOOKUP(A171,'2025'!B:F,5,FALSE)</f>
        <v>Sunrisers Hyderabad</v>
      </c>
    </row>
    <row r="172" spans="1:10" x14ac:dyDescent="0.3">
      <c r="A172" t="s">
        <v>182</v>
      </c>
      <c r="B172">
        <f>VLOOKUP(A172, '2025'!B:H, 2, FALSE)</f>
        <v>3000000</v>
      </c>
      <c r="C172">
        <f>IFERROR(VLOOKUP(A172,'2024'!B:G,4,FALSE),0)</f>
        <v>0</v>
      </c>
      <c r="D172">
        <f>IFERROR(VLOOKUP(A172,'2023'!B:G,4,FALSE),0)</f>
        <v>0</v>
      </c>
      <c r="E172">
        <f>IFERROR(VLOOKUP(A172,'2022'!B:G,4,FALSE),0)</f>
        <v>0</v>
      </c>
      <c r="F172" t="str">
        <f>IFERROR(VLOOKUP(A172,'2022'!B:G,3,FALSE),"Unknown")</f>
        <v>Unknown</v>
      </c>
      <c r="G172" t="str">
        <f>IFERROR(VLOOKUP(A172,'2023'!B:G,3,FALSE),"Unknown")</f>
        <v>Unknown</v>
      </c>
      <c r="H172" t="str">
        <f>IFERROR(VLOOKUP(A172,'2024'!B:G,3,FALSE),"Unknown")</f>
        <v>Unknown</v>
      </c>
      <c r="I172" t="str">
        <f t="shared" si="3"/>
        <v>Unknown</v>
      </c>
      <c r="J172" t="str">
        <f>VLOOKUP(A172,'2025'!B:F,5,FALSE)</f>
        <v>Sunrisers Hyderabad</v>
      </c>
    </row>
    <row r="173" spans="1:10" x14ac:dyDescent="0.3">
      <c r="A173" t="s">
        <v>183</v>
      </c>
      <c r="B173">
        <f>VLOOKUP(A173, '2025'!B:H, 2, FALSE)</f>
        <v>10000000</v>
      </c>
      <c r="C173">
        <f>IFERROR(VLOOKUP(A173,'2024'!B:G,4,FALSE),0)</f>
        <v>0</v>
      </c>
      <c r="D173">
        <f>IFERROR(VLOOKUP(A173,'2023'!B:G,4,FALSE),0)</f>
        <v>0</v>
      </c>
      <c r="E173">
        <f>IFERROR(VLOOKUP(A173,'2022'!B:G,4,FALSE),0)</f>
        <v>52500000</v>
      </c>
      <c r="F173" t="str">
        <f>IFERROR(VLOOKUP(A173,'2022'!B:G,3,FALSE),"Unknown")</f>
        <v>Bowler</v>
      </c>
      <c r="G173" t="str">
        <f>IFERROR(VLOOKUP(A173,'2023'!B:G,3,FALSE),"Unknown")</f>
        <v>Unknown</v>
      </c>
      <c r="H173" t="str">
        <f>IFERROR(VLOOKUP(A173,'2024'!B:G,3,FALSE),"Unknown")</f>
        <v>Unknown</v>
      </c>
      <c r="I173" t="str">
        <f t="shared" si="3"/>
        <v>Bowler</v>
      </c>
      <c r="J173" t="str">
        <f>VLOOKUP(A173,'2025'!B:F,5,FALSE)</f>
        <v>Sunrisers Hyderabad</v>
      </c>
    </row>
    <row r="174" spans="1:10" x14ac:dyDescent="0.3">
      <c r="A174" t="s">
        <v>184</v>
      </c>
      <c r="B174">
        <f>VLOOKUP(A174, '2025'!B:H, 2, FALSE)</f>
        <v>20000000</v>
      </c>
      <c r="C174">
        <f>IFERROR(VLOOKUP(A174,'2024'!B:G,4,FALSE),0)</f>
        <v>0</v>
      </c>
      <c r="D174">
        <f>IFERROR(VLOOKUP(A174,'2023'!B:G,4,FALSE),0)</f>
        <v>15000000</v>
      </c>
      <c r="E174">
        <f>IFERROR(VLOOKUP(A174,'2022'!B:G,4,FALSE),0)</f>
        <v>0</v>
      </c>
      <c r="F174" t="str">
        <f>IFERROR(VLOOKUP(A174,'2022'!B:G,3,FALSE),"Unknown")</f>
        <v>Unknown</v>
      </c>
      <c r="G174" t="str">
        <f>IFERROR(VLOOKUP(A174,'2023'!B:G,3,FALSE),"Unknown")</f>
        <v>Bowler</v>
      </c>
      <c r="H174" t="str">
        <f>IFERROR(VLOOKUP(A174,'2024'!B:G,3,FALSE),"Unknown")</f>
        <v>Unknown</v>
      </c>
      <c r="I174" t="str">
        <f t="shared" si="3"/>
        <v>Bowler</v>
      </c>
      <c r="J174" t="str">
        <f>VLOOKUP(A174,'2025'!B:F,5,FALSE)</f>
        <v>Sunrisers Hyderabad</v>
      </c>
    </row>
    <row r="175" spans="1:10" x14ac:dyDescent="0.3">
      <c r="A175" t="s">
        <v>185</v>
      </c>
      <c r="B175">
        <f>VLOOKUP(A175, '2025'!B:H, 2, FALSE)</f>
        <v>3000000</v>
      </c>
      <c r="C175">
        <f>IFERROR(VLOOKUP(A175,'2024'!B:G,4,FALSE),0)</f>
        <v>0</v>
      </c>
      <c r="D175">
        <f>IFERROR(VLOOKUP(A175,'2023'!B:G,4,FALSE),0)</f>
        <v>0</v>
      </c>
      <c r="E175">
        <f>IFERROR(VLOOKUP(A175,'2022'!B:G,4,FALSE),0)</f>
        <v>2000000</v>
      </c>
      <c r="F175" t="str">
        <f>IFERROR(VLOOKUP(A175,'2022'!B:G,3,FALSE),"Unknown")</f>
        <v>Bowler</v>
      </c>
      <c r="G175" t="str">
        <f>IFERROR(VLOOKUP(A175,'2023'!B:G,3,FALSE),"Unknown")</f>
        <v>Unknown</v>
      </c>
      <c r="H175" t="str">
        <f>IFERROR(VLOOKUP(A175,'2024'!B:G,3,FALSE),"Unknown")</f>
        <v>Unknown</v>
      </c>
      <c r="I175" t="str">
        <f t="shared" si="3"/>
        <v>Bowler</v>
      </c>
      <c r="J175" t="str">
        <f>VLOOKUP(A175,'2025'!B:F,5,FALSE)</f>
        <v>Sunrisers Hyderabad</v>
      </c>
    </row>
    <row r="176" spans="1:10" x14ac:dyDescent="0.3">
      <c r="A176" t="s">
        <v>186</v>
      </c>
      <c r="B176">
        <f>VLOOKUP(A176, '2025'!B:H, 2, FALSE)</f>
        <v>3000000</v>
      </c>
      <c r="C176">
        <f>IFERROR(VLOOKUP(A176,'2024'!B:G,4,FALSE),0)</f>
        <v>0</v>
      </c>
      <c r="D176">
        <f>IFERROR(VLOOKUP(A176,'2023'!B:G,4,FALSE),0)</f>
        <v>0</v>
      </c>
      <c r="E176">
        <f>IFERROR(VLOOKUP(A176,'2022'!B:G,4,FALSE),0)</f>
        <v>0</v>
      </c>
      <c r="F176" t="str">
        <f>IFERROR(VLOOKUP(A176,'2022'!B:G,3,FALSE),"Unknown")</f>
        <v>Unknown</v>
      </c>
      <c r="G176" t="str">
        <f>IFERROR(VLOOKUP(A176,'2023'!B:G,3,FALSE),"Unknown")</f>
        <v>Unknown</v>
      </c>
      <c r="H176" t="str">
        <f>IFERROR(VLOOKUP(A176,'2024'!B:G,3,FALSE),"Unknown")</f>
        <v>Unknown</v>
      </c>
      <c r="I176" t="str">
        <f t="shared" si="3"/>
        <v>Unknown</v>
      </c>
      <c r="J176" t="str">
        <f>VLOOKUP(A176,'2025'!B:F,5,FALSE)</f>
        <v>Sunrisers Hyderabad</v>
      </c>
    </row>
    <row r="177" spans="1:10" x14ac:dyDescent="0.3">
      <c r="A177" t="s">
        <v>187</v>
      </c>
      <c r="B177">
        <f>VLOOKUP(A177, '2025'!B:H, 2, FALSE)</f>
        <v>10000000</v>
      </c>
      <c r="C177">
        <f>IFERROR(VLOOKUP(A177,'2024'!B:G,4,FALSE),0)</f>
        <v>0</v>
      </c>
      <c r="D177">
        <f>IFERROR(VLOOKUP(A177,'2023'!B:G,4,FALSE),0)</f>
        <v>0</v>
      </c>
      <c r="E177">
        <f>IFERROR(VLOOKUP(A177,'2022'!B:G,4,FALSE),0)</f>
        <v>0</v>
      </c>
      <c r="F177" t="str">
        <f>IFERROR(VLOOKUP(A177,'2022'!B:G,3,FALSE),"Unknown")</f>
        <v>Unknown</v>
      </c>
      <c r="G177" t="str">
        <f>IFERROR(VLOOKUP(A177,'2023'!B:G,3,FALSE),"Unknown")</f>
        <v>Unknown</v>
      </c>
      <c r="H177" t="str">
        <f>IFERROR(VLOOKUP(A177,'2024'!B:G,3,FALSE),"Unknown")</f>
        <v>Unknown</v>
      </c>
      <c r="I177" t="str">
        <f t="shared" si="3"/>
        <v>Unknown</v>
      </c>
      <c r="J177" t="str">
        <f>VLOOKUP(A177,'2025'!B:F,5,FALSE)</f>
        <v>Sunrisers Hyderabad</v>
      </c>
    </row>
    <row r="178" spans="1:10" x14ac:dyDescent="0.3">
      <c r="A178" t="s">
        <v>188</v>
      </c>
      <c r="B178">
        <f>VLOOKUP(A178, '2025'!B:H, 2, FALSE)</f>
        <v>10000000</v>
      </c>
      <c r="C178">
        <f>IFERROR(VLOOKUP(A178,'2024'!B:G,4,FALSE),0)</f>
        <v>16000000</v>
      </c>
      <c r="D178">
        <f>IFERROR(VLOOKUP(A178,'2023'!B:G,4,FALSE),0)</f>
        <v>5000000</v>
      </c>
      <c r="E178">
        <f>IFERROR(VLOOKUP(A178,'2022'!B:G,4,FALSE),0)</f>
        <v>13000000</v>
      </c>
      <c r="F178" t="str">
        <f>IFERROR(VLOOKUP(A178,'2022'!B:G,3,FALSE),"Unknown")</f>
        <v>Bowler</v>
      </c>
      <c r="G178" t="str">
        <f>IFERROR(VLOOKUP(A178,'2023'!B:G,3,FALSE),"Unknown")</f>
        <v>Bowler</v>
      </c>
      <c r="H178" t="str">
        <f>IFERROR(VLOOKUP(A178,'2024'!B:G,3,FALSE),"Unknown")</f>
        <v>Bowler</v>
      </c>
      <c r="I178" t="str">
        <f t="shared" si="3"/>
        <v>Bowler</v>
      </c>
      <c r="J178" t="str">
        <f>VLOOKUP(A178,'2025'!B:F,5,FALSE)</f>
        <v>Sunrisers Hyderabad</v>
      </c>
    </row>
    <row r="179" spans="1:10" x14ac:dyDescent="0.3">
      <c r="A179" t="s">
        <v>189</v>
      </c>
      <c r="B179">
        <f>VLOOKUP(A179, '2025'!B:H, 2, FALSE)</f>
        <v>7500000</v>
      </c>
      <c r="C179">
        <f>IFERROR(VLOOKUP(A179,'2024'!B:G,4,FALSE),0)</f>
        <v>0</v>
      </c>
      <c r="D179">
        <f>IFERROR(VLOOKUP(A179,'2023'!B:G,4,FALSE),0)</f>
        <v>0</v>
      </c>
      <c r="E179">
        <f>IFERROR(VLOOKUP(A179,'2022'!B:G,4,FALSE),0)</f>
        <v>0</v>
      </c>
      <c r="F179" t="str">
        <f>IFERROR(VLOOKUP(A179,'2022'!B:G,3,FALSE),"Unknown")</f>
        <v>Unknown</v>
      </c>
      <c r="G179" t="str">
        <f>IFERROR(VLOOKUP(A179,'2023'!B:G,3,FALSE),"Unknown")</f>
        <v>Unknown</v>
      </c>
      <c r="H179" t="str">
        <f>IFERROR(VLOOKUP(A179,'2024'!B:G,3,FALSE),"Unknown")</f>
        <v>Unknown</v>
      </c>
      <c r="I179" t="str">
        <f t="shared" si="3"/>
        <v>Unknown</v>
      </c>
      <c r="J179" t="str">
        <f>VLOOKUP(A179,'2025'!B:F,5,FALSE)</f>
        <v>Sunrisers Hyderabad</v>
      </c>
    </row>
    <row r="180" spans="1:10" x14ac:dyDescent="0.3">
      <c r="A180" t="s">
        <v>190</v>
      </c>
      <c r="B180">
        <f>VLOOKUP(A180, '2025'!B:H, 2, FALSE)</f>
        <v>3000000</v>
      </c>
      <c r="C180">
        <f>IFERROR(VLOOKUP(A180,'2024'!B:G,4,FALSE),0)</f>
        <v>0</v>
      </c>
      <c r="D180">
        <f>IFERROR(VLOOKUP(A180,'2023'!B:G,4,FALSE),0)</f>
        <v>0</v>
      </c>
      <c r="E180">
        <f>IFERROR(VLOOKUP(A180,'2022'!B:G,4,FALSE),0)</f>
        <v>0</v>
      </c>
      <c r="F180" t="str">
        <f>IFERROR(VLOOKUP(A180,'2022'!B:G,3,FALSE),"Unknown")</f>
        <v>Unknown</v>
      </c>
      <c r="G180" t="str">
        <f>IFERROR(VLOOKUP(A180,'2023'!B:G,3,FALSE),"Unknown")</f>
        <v>Unknown</v>
      </c>
      <c r="H180" t="str">
        <f>IFERROR(VLOOKUP(A180,'2024'!B:G,3,FALSE),"Unknown")</f>
        <v>Unknown</v>
      </c>
      <c r="I180" t="str">
        <f t="shared" si="3"/>
        <v>Unknown</v>
      </c>
      <c r="J180" t="str">
        <f>VLOOKUP(A180,'2025'!B:F,5,FALSE)</f>
        <v>Sunrisers Hyderabad</v>
      </c>
    </row>
    <row r="181" spans="1:10" x14ac:dyDescent="0.3">
      <c r="A181" t="s">
        <v>191</v>
      </c>
      <c r="B181">
        <f>VLOOKUP(A181, '2025'!B:H, 2, FALSE)</f>
        <v>3000000</v>
      </c>
      <c r="C181">
        <f>IFERROR(VLOOKUP(A181,'2024'!B:G,4,FALSE),0)</f>
        <v>0</v>
      </c>
      <c r="D181">
        <f>IFERROR(VLOOKUP(A181,'2023'!B:G,4,FALSE),0)</f>
        <v>0</v>
      </c>
      <c r="E181">
        <f>IFERROR(VLOOKUP(A181,'2022'!B:G,4,FALSE),0)</f>
        <v>0</v>
      </c>
      <c r="F181" t="str">
        <f>IFERROR(VLOOKUP(A181,'2022'!B:G,3,FALSE),"Unknown")</f>
        <v>Unknown</v>
      </c>
      <c r="G181" t="str">
        <f>IFERROR(VLOOKUP(A181,'2023'!B:G,3,FALSE),"Unknown")</f>
        <v>Unknown</v>
      </c>
      <c r="H181" t="str">
        <f>IFERROR(VLOOKUP(A181,'2024'!B:G,3,FALSE),"Unknown")</f>
        <v>Unknown</v>
      </c>
      <c r="I181" t="str">
        <f t="shared" si="3"/>
        <v>Unknown</v>
      </c>
      <c r="J181" t="str">
        <f>VLOOKUP(A181,'2025'!B:F,5,FALSE)</f>
        <v>Sunrisers Hyderabad</v>
      </c>
    </row>
    <row r="182" spans="1:10" x14ac:dyDescent="0.3">
      <c r="A182" t="s">
        <v>192</v>
      </c>
      <c r="B182">
        <f>VLOOKUP(A182, '2025'!B:H, 2, FALSE)</f>
        <v>3000000</v>
      </c>
      <c r="C182">
        <f>IFERROR(VLOOKUP(A182,'2024'!B:G,4,FALSE),0)</f>
        <v>0</v>
      </c>
      <c r="D182">
        <f>IFERROR(VLOOKUP(A182,'2023'!B:G,4,FALSE),0)</f>
        <v>0</v>
      </c>
      <c r="E182">
        <f>IFERROR(VLOOKUP(A182,'2022'!B:G,4,FALSE),0)</f>
        <v>0</v>
      </c>
      <c r="F182" t="str">
        <f>IFERROR(VLOOKUP(A182,'2022'!B:G,3,FALSE),"Unknown")</f>
        <v>Unknown</v>
      </c>
      <c r="G182" t="str">
        <f>IFERROR(VLOOKUP(A182,'2023'!B:G,3,FALSE),"Unknown")</f>
        <v>Unknown</v>
      </c>
      <c r="H182" t="str">
        <f>IFERROR(VLOOKUP(A182,'2024'!B:G,3,FALSE),"Unknown")</f>
        <v>Unknown</v>
      </c>
      <c r="I182" t="str">
        <f t="shared" si="3"/>
        <v>Unknown</v>
      </c>
      <c r="J182" t="str">
        <f>VLOOKUP(A182,'2025'!B:F,5,FALSE)</f>
        <v>Sunrisers Hyderabad</v>
      </c>
    </row>
    <row r="183" spans="1:10" x14ac:dyDescent="0.3">
      <c r="A183" t="s">
        <v>193</v>
      </c>
      <c r="B183">
        <f>VLOOKUP(A183, '2025'!B:H, 2, FALSE)</f>
        <v>3000000</v>
      </c>
      <c r="C183">
        <f>IFERROR(VLOOKUP(A183,'2024'!B:G,4,FALSE),0)</f>
        <v>0</v>
      </c>
      <c r="D183">
        <f>IFERROR(VLOOKUP(A183,'2023'!B:G,4,FALSE),0)</f>
        <v>0</v>
      </c>
      <c r="E183">
        <f>IFERROR(VLOOKUP(A183,'2022'!B:G,4,FALSE),0)</f>
        <v>2000000</v>
      </c>
      <c r="F183" t="str">
        <f>IFERROR(VLOOKUP(A183,'2022'!B:G,3,FALSE),"Unknown")</f>
        <v>All-Rounder</v>
      </c>
      <c r="G183" t="str">
        <f>IFERROR(VLOOKUP(A183,'2023'!B:G,3,FALSE),"Unknown")</f>
        <v>Unknown</v>
      </c>
      <c r="H183" t="str">
        <f>IFERROR(VLOOKUP(A183,'2024'!B:G,3,FALSE),"Unknown")</f>
        <v>Unknown</v>
      </c>
      <c r="I183" t="str">
        <f t="shared" si="3"/>
        <v>All-Rounder</v>
      </c>
      <c r="J183" t="str">
        <f>VLOOKUP(A183,'2025'!B:F,5,FALSE)</f>
        <v>Sunrisers Hyderabad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>
      <selection activeCell="E19" sqref="E19"/>
    </sheetView>
  </sheetViews>
  <sheetFormatPr defaultRowHeight="14.4" x14ac:dyDescent="0.3"/>
  <cols>
    <col min="1" max="1" width="4.88671875" bestFit="1" customWidth="1"/>
    <col min="2" max="2" width="29" bestFit="1" customWidth="1"/>
    <col min="3" max="3" width="13.109375" bestFit="1" customWidth="1"/>
    <col min="4" max="7" width="13.6640625" bestFit="1" customWidth="1"/>
    <col min="8" max="8" width="24.21875" bestFit="1" customWidth="1"/>
    <col min="9" max="9" width="12.44140625" bestFit="1" customWidth="1"/>
    <col min="10" max="10" width="15.44140625" style="1" bestFit="1" customWidth="1"/>
  </cols>
  <sheetData>
    <row r="1" spans="1:10" x14ac:dyDescent="0.3">
      <c r="A1" t="s">
        <v>200</v>
      </c>
      <c r="B1" t="s">
        <v>194</v>
      </c>
      <c r="C1" t="s">
        <v>412</v>
      </c>
      <c r="D1" t="s">
        <v>405</v>
      </c>
      <c r="E1" t="s">
        <v>406</v>
      </c>
      <c r="F1" t="s">
        <v>407</v>
      </c>
      <c r="G1" t="s">
        <v>408</v>
      </c>
      <c r="H1" t="s">
        <v>414</v>
      </c>
      <c r="I1" t="s">
        <v>197</v>
      </c>
      <c r="J1" s="1" t="s">
        <v>195</v>
      </c>
    </row>
    <row r="2" spans="1:10" x14ac:dyDescent="0.3">
      <c r="A2">
        <v>1</v>
      </c>
      <c r="B2" t="s">
        <v>0</v>
      </c>
      <c r="C2" t="s">
        <v>213</v>
      </c>
      <c r="D2">
        <v>20000000</v>
      </c>
      <c r="E2">
        <v>0</v>
      </c>
      <c r="F2">
        <v>0</v>
      </c>
      <c r="G2">
        <v>3000000</v>
      </c>
      <c r="H2" t="s">
        <v>2</v>
      </c>
      <c r="I2" t="s">
        <v>1</v>
      </c>
      <c r="J2" s="1">
        <v>20000000</v>
      </c>
    </row>
    <row r="3" spans="1:10" x14ac:dyDescent="0.3">
      <c r="A3">
        <v>2</v>
      </c>
      <c r="B3" t="s">
        <v>3</v>
      </c>
      <c r="C3" t="s">
        <v>413</v>
      </c>
      <c r="D3">
        <v>20000000</v>
      </c>
      <c r="E3">
        <v>0</v>
      </c>
      <c r="F3">
        <v>0</v>
      </c>
      <c r="G3">
        <v>0</v>
      </c>
      <c r="H3" t="s">
        <v>2</v>
      </c>
      <c r="I3" t="s">
        <v>1</v>
      </c>
      <c r="J3" s="1">
        <v>20000000</v>
      </c>
    </row>
    <row r="4" spans="1:10" x14ac:dyDescent="0.3">
      <c r="A4">
        <v>3</v>
      </c>
      <c r="B4" t="s">
        <v>4</v>
      </c>
      <c r="C4" t="s">
        <v>309</v>
      </c>
      <c r="D4">
        <v>20000000</v>
      </c>
      <c r="E4">
        <v>0</v>
      </c>
      <c r="F4">
        <v>0</v>
      </c>
      <c r="G4">
        <v>10000000</v>
      </c>
      <c r="H4" t="s">
        <v>2</v>
      </c>
      <c r="I4" t="s">
        <v>1</v>
      </c>
      <c r="J4" s="1">
        <v>20000000</v>
      </c>
    </row>
    <row r="5" spans="1:10" x14ac:dyDescent="0.3">
      <c r="A5">
        <v>4</v>
      </c>
      <c r="B5" t="s">
        <v>5</v>
      </c>
      <c r="C5" t="s">
        <v>213</v>
      </c>
      <c r="D5">
        <v>20000000</v>
      </c>
      <c r="E5">
        <v>0</v>
      </c>
      <c r="F5">
        <v>0</v>
      </c>
      <c r="G5">
        <v>52500000</v>
      </c>
      <c r="H5" t="s">
        <v>2</v>
      </c>
      <c r="I5" t="s">
        <v>1</v>
      </c>
      <c r="J5" s="1">
        <v>20000000</v>
      </c>
    </row>
    <row r="6" spans="1:10" x14ac:dyDescent="0.3">
      <c r="A6">
        <v>5</v>
      </c>
      <c r="B6" t="s">
        <v>6</v>
      </c>
      <c r="C6" t="s">
        <v>215</v>
      </c>
      <c r="D6">
        <v>15000000</v>
      </c>
      <c r="E6">
        <v>18000000</v>
      </c>
      <c r="F6">
        <v>0</v>
      </c>
      <c r="G6">
        <v>0</v>
      </c>
      <c r="H6" t="s">
        <v>2</v>
      </c>
      <c r="I6" t="s">
        <v>1</v>
      </c>
      <c r="J6" s="1">
        <v>15000000</v>
      </c>
    </row>
    <row r="7" spans="1:10" x14ac:dyDescent="0.3">
      <c r="A7">
        <v>6</v>
      </c>
      <c r="B7" t="s">
        <v>7</v>
      </c>
      <c r="C7" t="s">
        <v>215</v>
      </c>
      <c r="D7">
        <v>3000000</v>
      </c>
      <c r="E7">
        <v>2000000</v>
      </c>
      <c r="F7">
        <v>0</v>
      </c>
      <c r="G7">
        <v>0</v>
      </c>
      <c r="H7" t="s">
        <v>2</v>
      </c>
      <c r="I7" t="s">
        <v>8</v>
      </c>
      <c r="J7" s="1">
        <v>3000000</v>
      </c>
    </row>
    <row r="8" spans="1:10" x14ac:dyDescent="0.3">
      <c r="A8">
        <v>7</v>
      </c>
      <c r="B8" t="s">
        <v>9</v>
      </c>
      <c r="C8" t="s">
        <v>309</v>
      </c>
      <c r="D8">
        <v>7500000</v>
      </c>
      <c r="E8">
        <v>0</v>
      </c>
      <c r="F8">
        <v>0</v>
      </c>
      <c r="G8">
        <v>85000000</v>
      </c>
      <c r="H8" t="s">
        <v>2</v>
      </c>
      <c r="I8" t="s">
        <v>1</v>
      </c>
      <c r="J8" s="1">
        <v>7500000</v>
      </c>
    </row>
    <row r="9" spans="1:10" x14ac:dyDescent="0.3">
      <c r="A9">
        <v>8</v>
      </c>
      <c r="B9" t="s">
        <v>10</v>
      </c>
      <c r="C9" t="s">
        <v>215</v>
      </c>
      <c r="D9">
        <v>20000000</v>
      </c>
      <c r="E9">
        <v>0</v>
      </c>
      <c r="F9">
        <v>185000000</v>
      </c>
      <c r="G9">
        <v>0</v>
      </c>
      <c r="H9" t="s">
        <v>2</v>
      </c>
      <c r="I9" t="s">
        <v>1</v>
      </c>
      <c r="J9" s="1">
        <v>20000000</v>
      </c>
    </row>
    <row r="10" spans="1:10" x14ac:dyDescent="0.3">
      <c r="A10">
        <v>9</v>
      </c>
      <c r="B10" t="s">
        <v>11</v>
      </c>
      <c r="C10" t="s">
        <v>413</v>
      </c>
      <c r="D10">
        <v>3000000</v>
      </c>
      <c r="E10">
        <v>0</v>
      </c>
      <c r="F10">
        <v>0</v>
      </c>
      <c r="G10">
        <v>0</v>
      </c>
      <c r="H10" t="s">
        <v>2</v>
      </c>
      <c r="I10" t="s">
        <v>8</v>
      </c>
      <c r="J10" s="1">
        <v>3000000</v>
      </c>
    </row>
    <row r="11" spans="1:10" x14ac:dyDescent="0.3">
      <c r="A11">
        <v>10</v>
      </c>
      <c r="B11" t="s">
        <v>12</v>
      </c>
      <c r="C11" t="s">
        <v>213</v>
      </c>
      <c r="D11">
        <v>12500000</v>
      </c>
      <c r="E11">
        <v>0</v>
      </c>
      <c r="F11">
        <v>0</v>
      </c>
      <c r="G11">
        <v>7500000</v>
      </c>
      <c r="H11" t="s">
        <v>2</v>
      </c>
      <c r="I11" t="s">
        <v>1</v>
      </c>
      <c r="J11" s="1">
        <v>12500000</v>
      </c>
    </row>
    <row r="12" spans="1:10" x14ac:dyDescent="0.3">
      <c r="A12">
        <v>11</v>
      </c>
      <c r="B12" t="s">
        <v>13</v>
      </c>
      <c r="C12" t="s">
        <v>215</v>
      </c>
      <c r="D12">
        <v>7500000</v>
      </c>
      <c r="E12">
        <v>0</v>
      </c>
      <c r="F12">
        <v>0</v>
      </c>
      <c r="G12">
        <v>57500000</v>
      </c>
      <c r="H12" t="s">
        <v>2</v>
      </c>
      <c r="I12" t="s">
        <v>1</v>
      </c>
      <c r="J12" s="1">
        <v>7500000</v>
      </c>
    </row>
    <row r="13" spans="1:10" x14ac:dyDescent="0.3">
      <c r="A13">
        <v>12</v>
      </c>
      <c r="B13" t="s">
        <v>14</v>
      </c>
      <c r="C13" t="s">
        <v>413</v>
      </c>
      <c r="D13">
        <v>15000000</v>
      </c>
      <c r="E13">
        <v>0</v>
      </c>
      <c r="F13">
        <v>0</v>
      </c>
      <c r="G13">
        <v>0</v>
      </c>
      <c r="H13" t="s">
        <v>2</v>
      </c>
      <c r="I13" t="s">
        <v>1</v>
      </c>
      <c r="J13" s="1">
        <v>15000000</v>
      </c>
    </row>
    <row r="14" spans="1:10" x14ac:dyDescent="0.3">
      <c r="A14">
        <v>13</v>
      </c>
      <c r="B14" t="s">
        <v>15</v>
      </c>
      <c r="C14" t="s">
        <v>215</v>
      </c>
      <c r="D14">
        <v>3000000</v>
      </c>
      <c r="E14">
        <v>0</v>
      </c>
      <c r="F14">
        <v>0</v>
      </c>
      <c r="G14">
        <v>14000000</v>
      </c>
      <c r="H14" t="s">
        <v>2</v>
      </c>
      <c r="I14" t="s">
        <v>8</v>
      </c>
      <c r="J14" s="1">
        <v>3000000</v>
      </c>
    </row>
    <row r="15" spans="1:10" x14ac:dyDescent="0.3">
      <c r="A15">
        <v>14</v>
      </c>
      <c r="B15" t="s">
        <v>16</v>
      </c>
      <c r="C15" t="s">
        <v>413</v>
      </c>
      <c r="D15">
        <v>3000000</v>
      </c>
      <c r="E15">
        <v>0</v>
      </c>
      <c r="F15">
        <v>0</v>
      </c>
      <c r="G15">
        <v>0</v>
      </c>
      <c r="H15" t="s">
        <v>2</v>
      </c>
      <c r="I15" t="s">
        <v>8</v>
      </c>
      <c r="J15" s="1">
        <v>3000000</v>
      </c>
    </row>
    <row r="16" spans="1:10" x14ac:dyDescent="0.3">
      <c r="A16">
        <v>15</v>
      </c>
      <c r="B16" t="s">
        <v>17</v>
      </c>
      <c r="C16" t="s">
        <v>413</v>
      </c>
      <c r="D16">
        <v>3000000</v>
      </c>
      <c r="E16">
        <v>0</v>
      </c>
      <c r="F16">
        <v>0</v>
      </c>
      <c r="G16">
        <v>0</v>
      </c>
      <c r="H16" t="s">
        <v>2</v>
      </c>
      <c r="I16" t="s">
        <v>8</v>
      </c>
      <c r="J16" s="1">
        <v>3000000</v>
      </c>
    </row>
    <row r="17" spans="1:10" x14ac:dyDescent="0.3">
      <c r="A17">
        <v>16</v>
      </c>
      <c r="B17" t="s">
        <v>18</v>
      </c>
      <c r="C17" t="s">
        <v>213</v>
      </c>
      <c r="D17">
        <v>3000000</v>
      </c>
      <c r="E17">
        <v>2000000</v>
      </c>
      <c r="F17">
        <v>0</v>
      </c>
      <c r="G17">
        <v>7500000</v>
      </c>
      <c r="H17" t="s">
        <v>2</v>
      </c>
      <c r="I17" t="s">
        <v>8</v>
      </c>
      <c r="J17" s="1">
        <v>3000000</v>
      </c>
    </row>
    <row r="18" spans="1:10" x14ac:dyDescent="0.3">
      <c r="A18">
        <v>17</v>
      </c>
      <c r="B18" t="s">
        <v>19</v>
      </c>
      <c r="C18" t="s">
        <v>413</v>
      </c>
      <c r="D18">
        <v>3000000</v>
      </c>
      <c r="E18">
        <v>0</v>
      </c>
      <c r="F18">
        <v>0</v>
      </c>
      <c r="G18">
        <v>0</v>
      </c>
      <c r="H18" t="s">
        <v>2</v>
      </c>
      <c r="I18" t="s">
        <v>8</v>
      </c>
      <c r="J18" s="1">
        <v>3000000</v>
      </c>
    </row>
    <row r="19" spans="1:10" x14ac:dyDescent="0.3">
      <c r="A19">
        <v>18</v>
      </c>
      <c r="B19" t="s">
        <v>20</v>
      </c>
      <c r="C19" t="s">
        <v>215</v>
      </c>
      <c r="D19">
        <v>3000000</v>
      </c>
      <c r="E19">
        <v>0</v>
      </c>
      <c r="F19">
        <v>0</v>
      </c>
      <c r="G19">
        <v>11000000</v>
      </c>
      <c r="H19" t="s">
        <v>2</v>
      </c>
      <c r="I19" t="s">
        <v>8</v>
      </c>
      <c r="J19" s="1">
        <v>3000000</v>
      </c>
    </row>
    <row r="20" spans="1:10" x14ac:dyDescent="0.3">
      <c r="A20">
        <v>19</v>
      </c>
      <c r="B20" t="s">
        <v>21</v>
      </c>
      <c r="C20" t="s">
        <v>213</v>
      </c>
      <c r="D20">
        <v>3000000</v>
      </c>
      <c r="E20">
        <v>0</v>
      </c>
      <c r="F20">
        <v>0</v>
      </c>
      <c r="G20">
        <v>2000000</v>
      </c>
      <c r="H20" t="s">
        <v>2</v>
      </c>
      <c r="I20" t="s">
        <v>8</v>
      </c>
      <c r="J20" s="1">
        <v>3000000</v>
      </c>
    </row>
    <row r="21" spans="1:10" x14ac:dyDescent="0.3">
      <c r="A21">
        <v>20</v>
      </c>
      <c r="B21" t="s">
        <v>22</v>
      </c>
      <c r="C21" t="s">
        <v>216</v>
      </c>
      <c r="D21">
        <v>3000000</v>
      </c>
      <c r="E21">
        <v>0</v>
      </c>
      <c r="F21">
        <v>2000000</v>
      </c>
      <c r="G21">
        <v>0</v>
      </c>
      <c r="H21" t="s">
        <v>2</v>
      </c>
      <c r="I21" t="s">
        <v>8</v>
      </c>
      <c r="J21" s="1">
        <v>3000000</v>
      </c>
    </row>
    <row r="22" spans="1:10" x14ac:dyDescent="0.3">
      <c r="A22">
        <v>21</v>
      </c>
      <c r="B22" t="s">
        <v>23</v>
      </c>
      <c r="C22" t="s">
        <v>413</v>
      </c>
      <c r="D22">
        <v>20000000</v>
      </c>
      <c r="E22">
        <v>0</v>
      </c>
      <c r="F22">
        <v>0</v>
      </c>
      <c r="G22">
        <v>0</v>
      </c>
      <c r="H22" t="s">
        <v>24</v>
      </c>
      <c r="I22" t="s">
        <v>1</v>
      </c>
      <c r="J22" s="1">
        <v>20000000</v>
      </c>
    </row>
    <row r="23" spans="1:10" x14ac:dyDescent="0.3">
      <c r="A23">
        <v>22</v>
      </c>
      <c r="B23" t="s">
        <v>25</v>
      </c>
      <c r="C23" t="s">
        <v>213</v>
      </c>
      <c r="D23">
        <v>20000000</v>
      </c>
      <c r="E23">
        <v>247500000</v>
      </c>
      <c r="F23">
        <v>0</v>
      </c>
      <c r="G23">
        <v>0</v>
      </c>
      <c r="H23" t="s">
        <v>24</v>
      </c>
      <c r="I23" t="s">
        <v>1</v>
      </c>
      <c r="J23" s="1">
        <v>20000000</v>
      </c>
    </row>
    <row r="24" spans="1:10" x14ac:dyDescent="0.3">
      <c r="A24">
        <v>23</v>
      </c>
      <c r="B24" t="s">
        <v>26</v>
      </c>
      <c r="C24" t="s">
        <v>213</v>
      </c>
      <c r="D24">
        <v>20000000</v>
      </c>
      <c r="E24">
        <v>0</v>
      </c>
      <c r="F24">
        <v>0</v>
      </c>
      <c r="G24">
        <v>40000000</v>
      </c>
      <c r="H24" t="s">
        <v>24</v>
      </c>
      <c r="I24" t="s">
        <v>1</v>
      </c>
      <c r="J24" s="1">
        <v>20000000</v>
      </c>
    </row>
    <row r="25" spans="1:10" x14ac:dyDescent="0.3">
      <c r="A25">
        <v>24</v>
      </c>
      <c r="B25" t="s">
        <v>27</v>
      </c>
      <c r="C25" t="s">
        <v>413</v>
      </c>
      <c r="D25">
        <v>20000000</v>
      </c>
      <c r="E25">
        <v>0</v>
      </c>
      <c r="F25">
        <v>0</v>
      </c>
      <c r="G25">
        <v>0</v>
      </c>
      <c r="H25" t="s">
        <v>24</v>
      </c>
      <c r="I25" t="s">
        <v>1</v>
      </c>
      <c r="J25" s="1">
        <v>20000000</v>
      </c>
    </row>
    <row r="26" spans="1:10" x14ac:dyDescent="0.3">
      <c r="A26">
        <v>25</v>
      </c>
      <c r="B26" t="s">
        <v>28</v>
      </c>
      <c r="C26" t="s">
        <v>213</v>
      </c>
      <c r="D26">
        <v>20000000</v>
      </c>
      <c r="E26">
        <v>0</v>
      </c>
      <c r="F26">
        <v>55000000</v>
      </c>
      <c r="G26">
        <v>0</v>
      </c>
      <c r="H26" t="s">
        <v>24</v>
      </c>
      <c r="I26" t="s">
        <v>1</v>
      </c>
      <c r="J26" s="1">
        <v>20000000</v>
      </c>
    </row>
    <row r="27" spans="1:10" x14ac:dyDescent="0.3">
      <c r="A27">
        <v>26</v>
      </c>
      <c r="B27" t="s">
        <v>29</v>
      </c>
      <c r="C27" t="s">
        <v>216</v>
      </c>
      <c r="D27">
        <v>20000000</v>
      </c>
      <c r="E27">
        <v>40000000</v>
      </c>
      <c r="F27">
        <v>132500000</v>
      </c>
      <c r="G27">
        <v>0</v>
      </c>
      <c r="H27" t="s">
        <v>24</v>
      </c>
      <c r="I27" t="s">
        <v>1</v>
      </c>
      <c r="J27" s="1">
        <v>20000000</v>
      </c>
    </row>
    <row r="28" spans="1:10" x14ac:dyDescent="0.3">
      <c r="A28">
        <v>27</v>
      </c>
      <c r="B28" t="s">
        <v>30</v>
      </c>
      <c r="C28" t="s">
        <v>215</v>
      </c>
      <c r="D28">
        <v>3000000</v>
      </c>
      <c r="E28">
        <v>2000000</v>
      </c>
      <c r="F28">
        <v>0</v>
      </c>
      <c r="G28">
        <v>0</v>
      </c>
      <c r="H28" t="s">
        <v>24</v>
      </c>
      <c r="I28" t="s">
        <v>8</v>
      </c>
      <c r="J28" s="1">
        <v>3000000</v>
      </c>
    </row>
    <row r="29" spans="1:10" x14ac:dyDescent="0.3">
      <c r="A29">
        <v>28</v>
      </c>
      <c r="B29" t="s">
        <v>31</v>
      </c>
      <c r="C29" t="s">
        <v>213</v>
      </c>
      <c r="D29">
        <v>5000000</v>
      </c>
      <c r="E29">
        <v>0</v>
      </c>
      <c r="F29">
        <v>5000000</v>
      </c>
      <c r="G29">
        <v>0</v>
      </c>
      <c r="H29" t="s">
        <v>24</v>
      </c>
      <c r="I29" t="s">
        <v>8</v>
      </c>
      <c r="J29" s="1">
        <v>5000000</v>
      </c>
    </row>
    <row r="30" spans="1:10" x14ac:dyDescent="0.3">
      <c r="A30">
        <v>29</v>
      </c>
      <c r="B30" t="s">
        <v>32</v>
      </c>
      <c r="C30" t="s">
        <v>309</v>
      </c>
      <c r="D30">
        <v>20000000</v>
      </c>
      <c r="E30">
        <v>0</v>
      </c>
      <c r="F30">
        <v>0</v>
      </c>
      <c r="G30">
        <v>70000000</v>
      </c>
      <c r="H30" t="s">
        <v>24</v>
      </c>
      <c r="I30" t="s">
        <v>1</v>
      </c>
      <c r="J30" s="1">
        <v>20000000</v>
      </c>
    </row>
    <row r="31" spans="1:10" x14ac:dyDescent="0.3">
      <c r="A31">
        <v>30</v>
      </c>
      <c r="B31" t="s">
        <v>33</v>
      </c>
      <c r="C31" t="s">
        <v>216</v>
      </c>
      <c r="D31">
        <v>3000000</v>
      </c>
      <c r="E31">
        <v>84000000</v>
      </c>
      <c r="F31">
        <v>0</v>
      </c>
      <c r="G31">
        <v>0</v>
      </c>
      <c r="H31" t="s">
        <v>24</v>
      </c>
      <c r="I31" t="s">
        <v>8</v>
      </c>
      <c r="J31" s="1">
        <v>3000000</v>
      </c>
    </row>
    <row r="32" spans="1:10" x14ac:dyDescent="0.3">
      <c r="A32">
        <v>31</v>
      </c>
      <c r="B32" t="s">
        <v>34</v>
      </c>
      <c r="C32" t="s">
        <v>210</v>
      </c>
      <c r="D32">
        <v>7500000</v>
      </c>
      <c r="E32">
        <v>0</v>
      </c>
      <c r="F32">
        <v>5000000</v>
      </c>
      <c r="G32">
        <v>0</v>
      </c>
      <c r="H32" t="s">
        <v>24</v>
      </c>
      <c r="I32" t="s">
        <v>1</v>
      </c>
      <c r="J32" s="1">
        <v>7500000</v>
      </c>
    </row>
    <row r="33" spans="1:10" x14ac:dyDescent="0.3">
      <c r="A33">
        <v>32</v>
      </c>
      <c r="B33" t="s">
        <v>35</v>
      </c>
      <c r="C33" t="s">
        <v>413</v>
      </c>
      <c r="D33">
        <v>7500000</v>
      </c>
      <c r="E33">
        <v>0</v>
      </c>
      <c r="F33">
        <v>0</v>
      </c>
      <c r="G33">
        <v>0</v>
      </c>
      <c r="H33" t="s">
        <v>24</v>
      </c>
      <c r="I33" t="s">
        <v>1</v>
      </c>
      <c r="J33" s="1">
        <v>7500000</v>
      </c>
    </row>
    <row r="34" spans="1:10" x14ac:dyDescent="0.3">
      <c r="A34">
        <v>33</v>
      </c>
      <c r="B34" t="s">
        <v>36</v>
      </c>
      <c r="C34" t="s">
        <v>413</v>
      </c>
      <c r="D34">
        <v>3000000</v>
      </c>
      <c r="E34">
        <v>0</v>
      </c>
      <c r="F34">
        <v>0</v>
      </c>
      <c r="G34">
        <v>0</v>
      </c>
      <c r="H34" t="s">
        <v>24</v>
      </c>
      <c r="I34" t="s">
        <v>8</v>
      </c>
      <c r="J34" s="1">
        <v>3000000</v>
      </c>
    </row>
    <row r="35" spans="1:10" x14ac:dyDescent="0.3">
      <c r="A35">
        <v>34</v>
      </c>
      <c r="B35" t="s">
        <v>37</v>
      </c>
      <c r="C35" t="s">
        <v>309</v>
      </c>
      <c r="D35">
        <v>3000000</v>
      </c>
      <c r="E35">
        <v>0</v>
      </c>
      <c r="F35">
        <v>0</v>
      </c>
      <c r="G35">
        <v>14000000</v>
      </c>
      <c r="H35" t="s">
        <v>24</v>
      </c>
      <c r="I35" t="s">
        <v>8</v>
      </c>
      <c r="J35" s="1">
        <v>3000000</v>
      </c>
    </row>
    <row r="36" spans="1:10" x14ac:dyDescent="0.3">
      <c r="A36">
        <v>35</v>
      </c>
      <c r="B36" t="s">
        <v>38</v>
      </c>
      <c r="C36" t="s">
        <v>413</v>
      </c>
      <c r="D36">
        <v>3000000</v>
      </c>
      <c r="E36">
        <v>0</v>
      </c>
      <c r="F36">
        <v>0</v>
      </c>
      <c r="G36">
        <v>0</v>
      </c>
      <c r="H36" t="s">
        <v>24</v>
      </c>
      <c r="I36" t="s">
        <v>8</v>
      </c>
      <c r="J36" s="1">
        <v>3000000</v>
      </c>
    </row>
    <row r="37" spans="1:10" x14ac:dyDescent="0.3">
      <c r="A37">
        <v>36</v>
      </c>
      <c r="B37" t="s">
        <v>39</v>
      </c>
      <c r="C37" t="s">
        <v>413</v>
      </c>
      <c r="D37">
        <v>3000000</v>
      </c>
      <c r="E37">
        <v>0</v>
      </c>
      <c r="F37">
        <v>0</v>
      </c>
      <c r="G37">
        <v>0</v>
      </c>
      <c r="H37" t="s">
        <v>24</v>
      </c>
      <c r="I37" t="s">
        <v>8</v>
      </c>
      <c r="J37" s="1">
        <v>3000000</v>
      </c>
    </row>
    <row r="38" spans="1:10" x14ac:dyDescent="0.3">
      <c r="A38">
        <v>37</v>
      </c>
      <c r="B38" t="s">
        <v>40</v>
      </c>
      <c r="C38" t="s">
        <v>413</v>
      </c>
      <c r="D38">
        <v>3000000</v>
      </c>
      <c r="E38">
        <v>0</v>
      </c>
      <c r="F38">
        <v>0</v>
      </c>
      <c r="G38">
        <v>0</v>
      </c>
      <c r="H38" t="s">
        <v>24</v>
      </c>
      <c r="I38" t="s">
        <v>8</v>
      </c>
      <c r="J38" s="1">
        <v>3000000</v>
      </c>
    </row>
    <row r="39" spans="1:10" x14ac:dyDescent="0.3">
      <c r="A39">
        <v>38</v>
      </c>
      <c r="B39" t="s">
        <v>41</v>
      </c>
      <c r="C39" t="s">
        <v>215</v>
      </c>
      <c r="D39">
        <v>3000000</v>
      </c>
      <c r="E39">
        <v>0</v>
      </c>
      <c r="F39">
        <v>2000000</v>
      </c>
      <c r="G39">
        <v>0</v>
      </c>
      <c r="H39" t="s">
        <v>24</v>
      </c>
      <c r="I39" t="s">
        <v>8</v>
      </c>
      <c r="J39" s="1">
        <v>3000000</v>
      </c>
    </row>
    <row r="40" spans="1:10" x14ac:dyDescent="0.3">
      <c r="A40">
        <v>39</v>
      </c>
      <c r="B40" t="s">
        <v>42</v>
      </c>
      <c r="C40" t="s">
        <v>215</v>
      </c>
      <c r="D40">
        <v>3000000</v>
      </c>
      <c r="E40">
        <v>0</v>
      </c>
      <c r="F40">
        <v>0</v>
      </c>
      <c r="G40">
        <v>2000000</v>
      </c>
      <c r="H40" t="s">
        <v>24</v>
      </c>
      <c r="I40" t="s">
        <v>8</v>
      </c>
      <c r="J40" s="1">
        <v>3000000</v>
      </c>
    </row>
    <row r="41" spans="1:10" x14ac:dyDescent="0.3">
      <c r="A41">
        <v>40</v>
      </c>
      <c r="B41" t="s">
        <v>43</v>
      </c>
      <c r="C41" t="s">
        <v>413</v>
      </c>
      <c r="D41">
        <v>20000000</v>
      </c>
      <c r="E41">
        <v>0</v>
      </c>
      <c r="F41">
        <v>0</v>
      </c>
      <c r="G41">
        <v>0</v>
      </c>
      <c r="H41" t="s">
        <v>44</v>
      </c>
      <c r="I41" t="s">
        <v>1</v>
      </c>
      <c r="J41" s="1">
        <v>20000000</v>
      </c>
    </row>
    <row r="42" spans="1:10" x14ac:dyDescent="0.3">
      <c r="A42">
        <v>41</v>
      </c>
      <c r="B42" t="s">
        <v>45</v>
      </c>
      <c r="C42" t="s">
        <v>413</v>
      </c>
      <c r="D42">
        <v>20000000</v>
      </c>
      <c r="E42">
        <v>0</v>
      </c>
      <c r="F42">
        <v>0</v>
      </c>
      <c r="G42">
        <v>0</v>
      </c>
      <c r="H42" t="s">
        <v>44</v>
      </c>
      <c r="I42" t="s">
        <v>1</v>
      </c>
      <c r="J42" s="1">
        <v>20000000</v>
      </c>
    </row>
    <row r="43" spans="1:10" x14ac:dyDescent="0.3">
      <c r="A43">
        <v>42</v>
      </c>
      <c r="B43" t="s">
        <v>46</v>
      </c>
      <c r="C43" t="s">
        <v>213</v>
      </c>
      <c r="D43">
        <v>20000000</v>
      </c>
      <c r="E43">
        <v>0</v>
      </c>
      <c r="F43">
        <v>0</v>
      </c>
      <c r="G43">
        <v>92500000</v>
      </c>
      <c r="H43" t="s">
        <v>44</v>
      </c>
      <c r="I43" t="s">
        <v>1</v>
      </c>
      <c r="J43" s="1">
        <v>20000000</v>
      </c>
    </row>
    <row r="44" spans="1:10" x14ac:dyDescent="0.3">
      <c r="A44">
        <v>43</v>
      </c>
      <c r="B44" t="s">
        <v>47</v>
      </c>
      <c r="C44" t="s">
        <v>213</v>
      </c>
      <c r="D44">
        <v>20000000</v>
      </c>
      <c r="E44">
        <v>0</v>
      </c>
      <c r="F44">
        <v>0</v>
      </c>
      <c r="G44">
        <v>100000000</v>
      </c>
      <c r="H44" t="s">
        <v>44</v>
      </c>
      <c r="I44" t="s">
        <v>1</v>
      </c>
      <c r="J44" s="1">
        <v>20000000</v>
      </c>
    </row>
    <row r="45" spans="1:10" x14ac:dyDescent="0.3">
      <c r="A45">
        <v>44</v>
      </c>
      <c r="B45" t="s">
        <v>48</v>
      </c>
      <c r="C45" t="s">
        <v>215</v>
      </c>
      <c r="D45">
        <v>20000000</v>
      </c>
      <c r="E45">
        <v>0</v>
      </c>
      <c r="F45">
        <v>0</v>
      </c>
      <c r="G45">
        <v>87500000</v>
      </c>
      <c r="H45" t="s">
        <v>44</v>
      </c>
      <c r="I45" t="s">
        <v>1</v>
      </c>
      <c r="J45" s="1">
        <v>20000000</v>
      </c>
    </row>
    <row r="46" spans="1:10" x14ac:dyDescent="0.3">
      <c r="A46">
        <v>45</v>
      </c>
      <c r="B46" t="s">
        <v>49</v>
      </c>
      <c r="C46" t="s">
        <v>215</v>
      </c>
      <c r="D46">
        <v>15000000</v>
      </c>
      <c r="E46">
        <v>15000000</v>
      </c>
      <c r="F46">
        <v>0</v>
      </c>
      <c r="G46">
        <v>10000000</v>
      </c>
      <c r="H46" t="s">
        <v>44</v>
      </c>
      <c r="I46" t="s">
        <v>1</v>
      </c>
      <c r="J46" s="1">
        <v>15000000</v>
      </c>
    </row>
    <row r="47" spans="1:10" x14ac:dyDescent="0.3">
      <c r="A47">
        <v>46</v>
      </c>
      <c r="B47" t="s">
        <v>50</v>
      </c>
      <c r="C47" t="s">
        <v>215</v>
      </c>
      <c r="D47">
        <v>12500000</v>
      </c>
      <c r="E47">
        <v>50000000</v>
      </c>
      <c r="F47">
        <v>0</v>
      </c>
      <c r="G47">
        <v>0</v>
      </c>
      <c r="H47" t="s">
        <v>44</v>
      </c>
      <c r="I47" t="s">
        <v>1</v>
      </c>
      <c r="J47" s="1">
        <v>12500000</v>
      </c>
    </row>
    <row r="48" spans="1:10" x14ac:dyDescent="0.3">
      <c r="A48">
        <v>47</v>
      </c>
      <c r="B48" t="s">
        <v>51</v>
      </c>
      <c r="C48" t="s">
        <v>304</v>
      </c>
      <c r="D48">
        <v>20000000</v>
      </c>
      <c r="E48">
        <v>0</v>
      </c>
      <c r="F48">
        <v>0</v>
      </c>
      <c r="G48">
        <v>15000000</v>
      </c>
      <c r="H48" t="s">
        <v>44</v>
      </c>
      <c r="I48" t="s">
        <v>1</v>
      </c>
      <c r="J48" s="1">
        <v>20000000</v>
      </c>
    </row>
    <row r="49" spans="1:10" x14ac:dyDescent="0.3">
      <c r="A49">
        <v>48</v>
      </c>
      <c r="B49" t="s">
        <v>52</v>
      </c>
      <c r="C49" t="s">
        <v>213</v>
      </c>
      <c r="D49">
        <v>7500000</v>
      </c>
      <c r="E49">
        <v>0</v>
      </c>
      <c r="F49">
        <v>0</v>
      </c>
      <c r="G49">
        <v>30000000</v>
      </c>
      <c r="H49" t="s">
        <v>44</v>
      </c>
      <c r="I49" t="s">
        <v>1</v>
      </c>
      <c r="J49" s="1">
        <v>7500000</v>
      </c>
    </row>
    <row r="50" spans="1:10" x14ac:dyDescent="0.3">
      <c r="A50">
        <v>49</v>
      </c>
      <c r="B50" t="s">
        <v>53</v>
      </c>
      <c r="C50" t="s">
        <v>215</v>
      </c>
      <c r="D50">
        <v>5000000</v>
      </c>
      <c r="E50">
        <v>0</v>
      </c>
      <c r="F50">
        <v>0</v>
      </c>
      <c r="G50">
        <v>9500000</v>
      </c>
      <c r="H50" t="s">
        <v>44</v>
      </c>
      <c r="I50" t="s">
        <v>8</v>
      </c>
      <c r="J50" s="1">
        <v>5000000</v>
      </c>
    </row>
    <row r="51" spans="1:10" x14ac:dyDescent="0.3">
      <c r="A51">
        <v>50</v>
      </c>
      <c r="B51" t="s">
        <v>54</v>
      </c>
      <c r="C51" t="s">
        <v>413</v>
      </c>
      <c r="D51">
        <v>3000000</v>
      </c>
      <c r="E51">
        <v>0</v>
      </c>
      <c r="F51">
        <v>0</v>
      </c>
      <c r="G51">
        <v>0</v>
      </c>
      <c r="H51" t="s">
        <v>44</v>
      </c>
      <c r="I51" t="s">
        <v>8</v>
      </c>
      <c r="J51" s="1">
        <v>3000000</v>
      </c>
    </row>
    <row r="52" spans="1:10" x14ac:dyDescent="0.3">
      <c r="A52">
        <v>51</v>
      </c>
      <c r="B52" t="s">
        <v>55</v>
      </c>
      <c r="C52" t="s">
        <v>215</v>
      </c>
      <c r="D52">
        <v>3000000</v>
      </c>
      <c r="E52">
        <v>2000000</v>
      </c>
      <c r="F52">
        <v>0</v>
      </c>
      <c r="G52">
        <v>2000000</v>
      </c>
      <c r="H52" t="s">
        <v>44</v>
      </c>
      <c r="I52" t="s">
        <v>8</v>
      </c>
      <c r="J52" s="1">
        <v>3000000</v>
      </c>
    </row>
    <row r="53" spans="1:10" x14ac:dyDescent="0.3">
      <c r="A53">
        <v>52</v>
      </c>
      <c r="B53" t="s">
        <v>56</v>
      </c>
      <c r="C53" t="s">
        <v>413</v>
      </c>
      <c r="D53">
        <v>7500000</v>
      </c>
      <c r="E53">
        <v>0</v>
      </c>
      <c r="F53">
        <v>0</v>
      </c>
      <c r="G53">
        <v>0</v>
      </c>
      <c r="H53" t="s">
        <v>44</v>
      </c>
      <c r="I53" t="s">
        <v>1</v>
      </c>
      <c r="J53" s="1">
        <v>7500000</v>
      </c>
    </row>
    <row r="54" spans="1:10" x14ac:dyDescent="0.3">
      <c r="A54">
        <v>53</v>
      </c>
      <c r="B54" t="s">
        <v>57</v>
      </c>
      <c r="C54" t="s">
        <v>215</v>
      </c>
      <c r="D54">
        <v>7500000</v>
      </c>
      <c r="E54">
        <v>0</v>
      </c>
      <c r="F54">
        <v>0</v>
      </c>
      <c r="G54">
        <v>17000000</v>
      </c>
      <c r="H54" t="s">
        <v>44</v>
      </c>
      <c r="I54" t="s">
        <v>1</v>
      </c>
      <c r="J54" s="1">
        <v>7500000</v>
      </c>
    </row>
    <row r="55" spans="1:10" x14ac:dyDescent="0.3">
      <c r="A55">
        <v>54</v>
      </c>
      <c r="B55" t="s">
        <v>58</v>
      </c>
      <c r="C55" t="s">
        <v>213</v>
      </c>
      <c r="D55">
        <v>7500000</v>
      </c>
      <c r="E55">
        <v>0</v>
      </c>
      <c r="F55">
        <v>5000000</v>
      </c>
      <c r="G55">
        <v>0</v>
      </c>
      <c r="H55" t="s">
        <v>44</v>
      </c>
      <c r="I55" t="s">
        <v>1</v>
      </c>
      <c r="J55" s="1">
        <v>7500000</v>
      </c>
    </row>
    <row r="56" spans="1:10" x14ac:dyDescent="0.3">
      <c r="A56">
        <v>55</v>
      </c>
      <c r="B56" t="s">
        <v>59</v>
      </c>
      <c r="C56" t="s">
        <v>210</v>
      </c>
      <c r="D56">
        <v>3000000</v>
      </c>
      <c r="E56">
        <v>72000000</v>
      </c>
      <c r="F56">
        <v>0</v>
      </c>
      <c r="G56">
        <v>0</v>
      </c>
      <c r="H56" t="s">
        <v>44</v>
      </c>
      <c r="I56" t="s">
        <v>8</v>
      </c>
      <c r="J56" s="1">
        <v>3000000</v>
      </c>
    </row>
    <row r="57" spans="1:10" x14ac:dyDescent="0.3">
      <c r="A57">
        <v>56</v>
      </c>
      <c r="B57" t="s">
        <v>60</v>
      </c>
      <c r="C57" t="s">
        <v>213</v>
      </c>
      <c r="D57">
        <v>3000000</v>
      </c>
      <c r="E57">
        <v>0</v>
      </c>
      <c r="F57">
        <v>2000000</v>
      </c>
      <c r="G57">
        <v>0</v>
      </c>
      <c r="H57" t="s">
        <v>44</v>
      </c>
      <c r="I57" t="s">
        <v>8</v>
      </c>
      <c r="J57" s="1">
        <v>3000000</v>
      </c>
    </row>
    <row r="58" spans="1:10" x14ac:dyDescent="0.3">
      <c r="A58">
        <v>57</v>
      </c>
      <c r="B58" t="s">
        <v>61</v>
      </c>
      <c r="C58" t="s">
        <v>213</v>
      </c>
      <c r="D58">
        <v>3000000</v>
      </c>
      <c r="E58">
        <v>2000000</v>
      </c>
      <c r="F58">
        <v>0</v>
      </c>
      <c r="G58">
        <v>0</v>
      </c>
      <c r="H58" t="s">
        <v>44</v>
      </c>
      <c r="I58" t="s">
        <v>8</v>
      </c>
      <c r="J58" s="1">
        <v>3000000</v>
      </c>
    </row>
    <row r="59" spans="1:10" x14ac:dyDescent="0.3">
      <c r="A59">
        <v>58</v>
      </c>
      <c r="B59" t="s">
        <v>62</v>
      </c>
      <c r="C59" t="s">
        <v>304</v>
      </c>
      <c r="D59">
        <v>3000000</v>
      </c>
      <c r="E59">
        <v>0</v>
      </c>
      <c r="F59">
        <v>0</v>
      </c>
      <c r="G59">
        <v>34000000</v>
      </c>
      <c r="H59" t="s">
        <v>44</v>
      </c>
      <c r="I59" t="s">
        <v>8</v>
      </c>
      <c r="J59" s="1">
        <v>3000000</v>
      </c>
    </row>
    <row r="60" spans="1:10" x14ac:dyDescent="0.3">
      <c r="A60">
        <v>59</v>
      </c>
      <c r="B60" t="s">
        <v>63</v>
      </c>
      <c r="C60" t="s">
        <v>215</v>
      </c>
      <c r="D60">
        <v>3000000</v>
      </c>
      <c r="E60">
        <v>0</v>
      </c>
      <c r="F60">
        <v>6000000</v>
      </c>
      <c r="G60">
        <v>0</v>
      </c>
      <c r="H60" t="s">
        <v>44</v>
      </c>
      <c r="I60" t="s">
        <v>8</v>
      </c>
      <c r="J60" s="1">
        <v>3000000</v>
      </c>
    </row>
    <row r="61" spans="1:10" x14ac:dyDescent="0.3">
      <c r="A61">
        <v>60</v>
      </c>
      <c r="B61" t="s">
        <v>64</v>
      </c>
      <c r="C61" t="s">
        <v>413</v>
      </c>
      <c r="D61">
        <v>20000000</v>
      </c>
      <c r="E61">
        <v>0</v>
      </c>
      <c r="F61">
        <v>0</v>
      </c>
      <c r="G61">
        <v>0</v>
      </c>
      <c r="H61" t="s">
        <v>65</v>
      </c>
      <c r="I61" t="s">
        <v>1</v>
      </c>
      <c r="J61" s="1">
        <v>20000000</v>
      </c>
    </row>
    <row r="62" spans="1:10" x14ac:dyDescent="0.3">
      <c r="A62">
        <v>61</v>
      </c>
      <c r="B62" t="s">
        <v>66</v>
      </c>
      <c r="C62" t="s">
        <v>413</v>
      </c>
      <c r="D62">
        <v>20000000</v>
      </c>
      <c r="E62">
        <v>0</v>
      </c>
      <c r="F62">
        <v>0</v>
      </c>
      <c r="G62">
        <v>0</v>
      </c>
      <c r="H62" t="s">
        <v>65</v>
      </c>
      <c r="I62" t="s">
        <v>1</v>
      </c>
      <c r="J62" s="1">
        <v>20000000</v>
      </c>
    </row>
    <row r="63" spans="1:10" x14ac:dyDescent="0.3">
      <c r="A63">
        <v>62</v>
      </c>
      <c r="B63" t="s">
        <v>67</v>
      </c>
      <c r="C63" t="s">
        <v>304</v>
      </c>
      <c r="D63">
        <v>20000000</v>
      </c>
      <c r="E63">
        <v>0</v>
      </c>
      <c r="F63">
        <v>0</v>
      </c>
      <c r="G63">
        <v>67500000</v>
      </c>
      <c r="H63" t="s">
        <v>65</v>
      </c>
      <c r="I63" t="s">
        <v>1</v>
      </c>
      <c r="J63" s="1">
        <v>20000000</v>
      </c>
    </row>
    <row r="64" spans="1:10" x14ac:dyDescent="0.3">
      <c r="A64">
        <v>63</v>
      </c>
      <c r="B64" t="s">
        <v>68</v>
      </c>
      <c r="C64" t="s">
        <v>216</v>
      </c>
      <c r="D64">
        <v>3000000</v>
      </c>
      <c r="E64">
        <v>2000000</v>
      </c>
      <c r="F64">
        <v>0</v>
      </c>
      <c r="G64">
        <v>0</v>
      </c>
      <c r="H64" t="s">
        <v>65</v>
      </c>
      <c r="I64" t="s">
        <v>8</v>
      </c>
      <c r="J64" s="1">
        <v>3000000</v>
      </c>
    </row>
    <row r="65" spans="1:10" x14ac:dyDescent="0.3">
      <c r="A65">
        <v>64</v>
      </c>
      <c r="B65" t="s">
        <v>69</v>
      </c>
      <c r="C65" t="s">
        <v>213</v>
      </c>
      <c r="D65">
        <v>20000000</v>
      </c>
      <c r="E65">
        <v>100000000</v>
      </c>
      <c r="F65">
        <v>0</v>
      </c>
      <c r="G65">
        <v>0</v>
      </c>
      <c r="H65" t="s">
        <v>65</v>
      </c>
      <c r="I65" t="s">
        <v>1</v>
      </c>
      <c r="J65" s="1">
        <v>20000000</v>
      </c>
    </row>
    <row r="66" spans="1:10" x14ac:dyDescent="0.3">
      <c r="A66">
        <v>65</v>
      </c>
      <c r="B66" t="s">
        <v>70</v>
      </c>
      <c r="C66" t="s">
        <v>413</v>
      </c>
      <c r="D66">
        <v>20000000</v>
      </c>
      <c r="E66">
        <v>0</v>
      </c>
      <c r="F66">
        <v>0</v>
      </c>
      <c r="G66">
        <v>0</v>
      </c>
      <c r="H66" t="s">
        <v>65</v>
      </c>
      <c r="I66" t="s">
        <v>1</v>
      </c>
      <c r="J66" s="1">
        <v>20000000</v>
      </c>
    </row>
    <row r="67" spans="1:10" x14ac:dyDescent="0.3">
      <c r="A67">
        <v>66</v>
      </c>
      <c r="B67" t="s">
        <v>71</v>
      </c>
      <c r="C67" t="s">
        <v>413</v>
      </c>
      <c r="D67">
        <v>20000000</v>
      </c>
      <c r="E67">
        <v>0</v>
      </c>
      <c r="F67">
        <v>0</v>
      </c>
      <c r="G67">
        <v>0</v>
      </c>
      <c r="H67" t="s">
        <v>65</v>
      </c>
      <c r="I67" t="s">
        <v>1</v>
      </c>
      <c r="J67" s="1">
        <v>20000000</v>
      </c>
    </row>
    <row r="68" spans="1:10" x14ac:dyDescent="0.3">
      <c r="A68">
        <v>67</v>
      </c>
      <c r="B68" t="s">
        <v>72</v>
      </c>
      <c r="C68" t="s">
        <v>213</v>
      </c>
      <c r="D68">
        <v>3000000</v>
      </c>
      <c r="E68">
        <v>0</v>
      </c>
      <c r="F68">
        <v>6000000</v>
      </c>
      <c r="G68">
        <v>20000000</v>
      </c>
      <c r="H68" t="s">
        <v>65</v>
      </c>
      <c r="I68" t="s">
        <v>8</v>
      </c>
      <c r="J68" s="1">
        <v>3000000</v>
      </c>
    </row>
    <row r="69" spans="1:10" x14ac:dyDescent="0.3">
      <c r="A69">
        <v>68</v>
      </c>
      <c r="B69" t="s">
        <v>73</v>
      </c>
      <c r="C69" t="s">
        <v>309</v>
      </c>
      <c r="D69">
        <v>15000000</v>
      </c>
      <c r="E69">
        <v>0</v>
      </c>
      <c r="F69">
        <v>5000000</v>
      </c>
      <c r="G69">
        <v>10000000</v>
      </c>
      <c r="H69" t="s">
        <v>65</v>
      </c>
      <c r="I69" t="s">
        <v>1</v>
      </c>
      <c r="J69" s="1">
        <v>15000000</v>
      </c>
    </row>
    <row r="70" spans="1:10" x14ac:dyDescent="0.3">
      <c r="A70">
        <v>69</v>
      </c>
      <c r="B70" t="s">
        <v>74</v>
      </c>
      <c r="C70" t="s">
        <v>309</v>
      </c>
      <c r="D70">
        <v>15000000</v>
      </c>
      <c r="E70">
        <v>74000000</v>
      </c>
      <c r="F70">
        <v>0</v>
      </c>
      <c r="G70">
        <v>28000000</v>
      </c>
      <c r="H70" t="s">
        <v>65</v>
      </c>
      <c r="I70" t="s">
        <v>1</v>
      </c>
      <c r="J70" s="1">
        <v>15000000</v>
      </c>
    </row>
    <row r="71" spans="1:10" x14ac:dyDescent="0.3">
      <c r="A71">
        <v>70</v>
      </c>
      <c r="B71" t="s">
        <v>75</v>
      </c>
      <c r="C71" t="s">
        <v>413</v>
      </c>
      <c r="D71">
        <v>7500000</v>
      </c>
      <c r="E71">
        <v>0</v>
      </c>
      <c r="F71">
        <v>0</v>
      </c>
      <c r="G71">
        <v>0</v>
      </c>
      <c r="H71" t="s">
        <v>65</v>
      </c>
      <c r="I71" t="s">
        <v>1</v>
      </c>
      <c r="J71" s="1">
        <v>7500000</v>
      </c>
    </row>
    <row r="72" spans="1:10" x14ac:dyDescent="0.3">
      <c r="A72">
        <v>71</v>
      </c>
      <c r="B72" t="s">
        <v>76</v>
      </c>
      <c r="C72" t="s">
        <v>309</v>
      </c>
      <c r="D72">
        <v>7500000</v>
      </c>
      <c r="E72">
        <v>5000000</v>
      </c>
      <c r="F72">
        <v>24000000</v>
      </c>
      <c r="G72">
        <v>46000000</v>
      </c>
      <c r="H72" t="s">
        <v>65</v>
      </c>
      <c r="I72" t="s">
        <v>1</v>
      </c>
      <c r="J72" s="1">
        <v>7500000</v>
      </c>
    </row>
    <row r="73" spans="1:10" x14ac:dyDescent="0.3">
      <c r="A73">
        <v>72</v>
      </c>
      <c r="B73" t="s">
        <v>77</v>
      </c>
      <c r="C73" t="s">
        <v>215</v>
      </c>
      <c r="D73">
        <v>3000000</v>
      </c>
      <c r="E73">
        <v>0</v>
      </c>
      <c r="F73">
        <v>0</v>
      </c>
      <c r="G73">
        <v>2000000</v>
      </c>
      <c r="H73" t="s">
        <v>65</v>
      </c>
      <c r="I73" t="s">
        <v>8</v>
      </c>
      <c r="J73" s="1">
        <v>3000000</v>
      </c>
    </row>
    <row r="74" spans="1:10" x14ac:dyDescent="0.3">
      <c r="A74">
        <v>73</v>
      </c>
      <c r="B74" t="s">
        <v>78</v>
      </c>
      <c r="C74" t="s">
        <v>304</v>
      </c>
      <c r="D74">
        <v>3000000</v>
      </c>
      <c r="E74">
        <v>0</v>
      </c>
      <c r="F74">
        <v>0</v>
      </c>
      <c r="G74">
        <v>2000000</v>
      </c>
      <c r="H74" t="s">
        <v>65</v>
      </c>
      <c r="I74" t="s">
        <v>8</v>
      </c>
      <c r="J74" s="1">
        <v>3000000</v>
      </c>
    </row>
    <row r="75" spans="1:10" x14ac:dyDescent="0.3">
      <c r="A75">
        <v>74</v>
      </c>
      <c r="B75" t="s">
        <v>79</v>
      </c>
      <c r="C75" t="s">
        <v>213</v>
      </c>
      <c r="D75">
        <v>3000000</v>
      </c>
      <c r="E75">
        <v>0</v>
      </c>
      <c r="F75">
        <v>5000000</v>
      </c>
      <c r="G75">
        <v>6500000</v>
      </c>
      <c r="H75" t="s">
        <v>65</v>
      </c>
      <c r="I75" t="s">
        <v>8</v>
      </c>
      <c r="J75" s="1">
        <v>3000000</v>
      </c>
    </row>
    <row r="76" spans="1:10" x14ac:dyDescent="0.3">
      <c r="A76">
        <v>75</v>
      </c>
      <c r="B76" t="s">
        <v>80</v>
      </c>
      <c r="C76" t="s">
        <v>413</v>
      </c>
      <c r="D76">
        <v>20000000</v>
      </c>
      <c r="E76">
        <v>0</v>
      </c>
      <c r="F76">
        <v>0</v>
      </c>
      <c r="G76">
        <v>0</v>
      </c>
      <c r="H76" t="s">
        <v>81</v>
      </c>
      <c r="I76" t="s">
        <v>1</v>
      </c>
      <c r="J76" s="1">
        <v>20000000</v>
      </c>
    </row>
    <row r="77" spans="1:10" x14ac:dyDescent="0.3">
      <c r="A77">
        <v>76</v>
      </c>
      <c r="B77" t="s">
        <v>82</v>
      </c>
      <c r="C77" t="s">
        <v>213</v>
      </c>
      <c r="D77">
        <v>20000000</v>
      </c>
      <c r="E77">
        <v>0</v>
      </c>
      <c r="F77">
        <v>0</v>
      </c>
      <c r="G77">
        <v>100000000</v>
      </c>
      <c r="H77" t="s">
        <v>81</v>
      </c>
      <c r="I77" t="s">
        <v>1</v>
      </c>
      <c r="J77" s="1">
        <v>20000000</v>
      </c>
    </row>
    <row r="78" spans="1:10" x14ac:dyDescent="0.3">
      <c r="A78">
        <v>77</v>
      </c>
      <c r="B78" t="s">
        <v>83</v>
      </c>
      <c r="C78" t="s">
        <v>213</v>
      </c>
      <c r="D78">
        <v>10000000</v>
      </c>
      <c r="E78">
        <v>0</v>
      </c>
      <c r="F78">
        <v>0</v>
      </c>
      <c r="G78">
        <v>2000000</v>
      </c>
      <c r="H78" t="s">
        <v>81</v>
      </c>
      <c r="I78" t="s">
        <v>1</v>
      </c>
      <c r="J78" s="1">
        <v>10000000</v>
      </c>
    </row>
    <row r="79" spans="1:10" x14ac:dyDescent="0.3">
      <c r="A79">
        <v>78</v>
      </c>
      <c r="B79" t="s">
        <v>84</v>
      </c>
      <c r="C79" t="s">
        <v>309</v>
      </c>
      <c r="D79">
        <v>15000000</v>
      </c>
      <c r="E79">
        <v>0</v>
      </c>
      <c r="F79">
        <v>0</v>
      </c>
      <c r="G79">
        <v>30000000</v>
      </c>
      <c r="H79" t="s">
        <v>81</v>
      </c>
      <c r="I79" t="s">
        <v>1</v>
      </c>
      <c r="J79" s="1">
        <v>15000000</v>
      </c>
    </row>
    <row r="80" spans="1:10" x14ac:dyDescent="0.3">
      <c r="A80">
        <v>79</v>
      </c>
      <c r="B80" t="s">
        <v>85</v>
      </c>
      <c r="C80" t="s">
        <v>413</v>
      </c>
      <c r="D80">
        <v>3000000</v>
      </c>
      <c r="E80">
        <v>0</v>
      </c>
      <c r="F80">
        <v>0</v>
      </c>
      <c r="G80">
        <v>0</v>
      </c>
      <c r="H80" t="s">
        <v>81</v>
      </c>
      <c r="I80" t="s">
        <v>8</v>
      </c>
      <c r="J80" s="1">
        <v>3000000</v>
      </c>
    </row>
    <row r="81" spans="1:10" x14ac:dyDescent="0.3">
      <c r="A81">
        <v>80</v>
      </c>
      <c r="B81" t="s">
        <v>86</v>
      </c>
      <c r="C81" t="s">
        <v>215</v>
      </c>
      <c r="D81">
        <v>20000000</v>
      </c>
      <c r="E81">
        <v>0</v>
      </c>
      <c r="F81">
        <v>0</v>
      </c>
      <c r="G81">
        <v>65000000</v>
      </c>
      <c r="H81" t="s">
        <v>81</v>
      </c>
      <c r="I81" t="s">
        <v>1</v>
      </c>
      <c r="J81" s="1">
        <v>20000000</v>
      </c>
    </row>
    <row r="82" spans="1:10" x14ac:dyDescent="0.3">
      <c r="A82">
        <v>81</v>
      </c>
      <c r="B82" t="s">
        <v>87</v>
      </c>
      <c r="C82" t="s">
        <v>215</v>
      </c>
      <c r="D82">
        <v>10000000</v>
      </c>
      <c r="E82">
        <v>0</v>
      </c>
      <c r="F82">
        <v>0</v>
      </c>
      <c r="G82">
        <v>24000000</v>
      </c>
      <c r="H82" t="s">
        <v>81</v>
      </c>
      <c r="I82" t="s">
        <v>1</v>
      </c>
      <c r="J82" s="1">
        <v>10000000</v>
      </c>
    </row>
    <row r="83" spans="1:10" x14ac:dyDescent="0.3">
      <c r="A83">
        <v>82</v>
      </c>
      <c r="B83" t="s">
        <v>88</v>
      </c>
      <c r="C83" t="s">
        <v>309</v>
      </c>
      <c r="D83">
        <v>20000000</v>
      </c>
      <c r="E83">
        <v>0</v>
      </c>
      <c r="F83">
        <v>0</v>
      </c>
      <c r="G83">
        <v>26000000</v>
      </c>
      <c r="H83" t="s">
        <v>81</v>
      </c>
      <c r="I83" t="s">
        <v>1</v>
      </c>
      <c r="J83" s="1">
        <v>20000000</v>
      </c>
    </row>
    <row r="84" spans="1:10" x14ac:dyDescent="0.3">
      <c r="A84">
        <v>83</v>
      </c>
      <c r="B84" t="s">
        <v>89</v>
      </c>
      <c r="C84" t="s">
        <v>413</v>
      </c>
      <c r="D84">
        <v>7500000</v>
      </c>
      <c r="E84">
        <v>0</v>
      </c>
      <c r="F84">
        <v>0</v>
      </c>
      <c r="G84">
        <v>0</v>
      </c>
      <c r="H84" t="s">
        <v>81</v>
      </c>
      <c r="I84" t="s">
        <v>1</v>
      </c>
      <c r="J84" s="1">
        <v>7500000</v>
      </c>
    </row>
    <row r="85" spans="1:10" x14ac:dyDescent="0.3">
      <c r="A85">
        <v>84</v>
      </c>
      <c r="B85" t="s">
        <v>90</v>
      </c>
      <c r="C85" t="s">
        <v>413</v>
      </c>
      <c r="D85">
        <v>7500000</v>
      </c>
      <c r="E85">
        <v>0</v>
      </c>
      <c r="F85">
        <v>0</v>
      </c>
      <c r="G85">
        <v>0</v>
      </c>
      <c r="H85" t="s">
        <v>81</v>
      </c>
      <c r="I85" t="s">
        <v>1</v>
      </c>
      <c r="J85" s="1">
        <v>7500000</v>
      </c>
    </row>
    <row r="86" spans="1:10" x14ac:dyDescent="0.3">
      <c r="A86">
        <v>85</v>
      </c>
      <c r="B86" t="s">
        <v>91</v>
      </c>
      <c r="C86" t="s">
        <v>213</v>
      </c>
      <c r="D86">
        <v>3000000</v>
      </c>
      <c r="E86">
        <v>24000000</v>
      </c>
      <c r="F86">
        <v>0</v>
      </c>
      <c r="G86">
        <v>0</v>
      </c>
      <c r="H86" t="s">
        <v>81</v>
      </c>
      <c r="I86" t="s">
        <v>8</v>
      </c>
      <c r="J86" s="1">
        <v>3000000</v>
      </c>
    </row>
    <row r="87" spans="1:10" x14ac:dyDescent="0.3">
      <c r="A87">
        <v>86</v>
      </c>
      <c r="B87" t="s">
        <v>92</v>
      </c>
      <c r="C87" t="s">
        <v>215</v>
      </c>
      <c r="D87">
        <v>3000000</v>
      </c>
      <c r="E87">
        <v>2000000</v>
      </c>
      <c r="F87">
        <v>0</v>
      </c>
      <c r="G87">
        <v>0</v>
      </c>
      <c r="H87" t="s">
        <v>81</v>
      </c>
      <c r="I87" t="s">
        <v>8</v>
      </c>
      <c r="J87" s="1">
        <v>3000000</v>
      </c>
    </row>
    <row r="88" spans="1:10" x14ac:dyDescent="0.3">
      <c r="A88">
        <v>87</v>
      </c>
      <c r="B88" t="s">
        <v>93</v>
      </c>
      <c r="C88" t="s">
        <v>215</v>
      </c>
      <c r="D88">
        <v>3000000</v>
      </c>
      <c r="E88">
        <v>0</v>
      </c>
      <c r="F88">
        <v>0</v>
      </c>
      <c r="G88">
        <v>15000000</v>
      </c>
      <c r="H88" t="s">
        <v>81</v>
      </c>
      <c r="I88" t="s">
        <v>8</v>
      </c>
      <c r="J88" s="1">
        <v>3000000</v>
      </c>
    </row>
    <row r="89" spans="1:10" x14ac:dyDescent="0.3">
      <c r="A89">
        <v>88</v>
      </c>
      <c r="B89" t="s">
        <v>94</v>
      </c>
      <c r="C89" t="s">
        <v>413</v>
      </c>
      <c r="D89">
        <v>3000000</v>
      </c>
      <c r="E89">
        <v>0</v>
      </c>
      <c r="F89">
        <v>0</v>
      </c>
      <c r="G89">
        <v>0</v>
      </c>
      <c r="H89" t="s">
        <v>81</v>
      </c>
      <c r="I89" t="s">
        <v>8</v>
      </c>
      <c r="J89" s="1">
        <v>3000000</v>
      </c>
    </row>
    <row r="90" spans="1:10" x14ac:dyDescent="0.3">
      <c r="A90">
        <v>89</v>
      </c>
      <c r="B90" t="s">
        <v>95</v>
      </c>
      <c r="C90" t="s">
        <v>413</v>
      </c>
      <c r="D90">
        <v>3000000</v>
      </c>
      <c r="E90">
        <v>0</v>
      </c>
      <c r="F90">
        <v>0</v>
      </c>
      <c r="G90">
        <v>0</v>
      </c>
      <c r="H90" t="s">
        <v>81</v>
      </c>
      <c r="I90" t="s">
        <v>8</v>
      </c>
      <c r="J90" s="1">
        <v>3000000</v>
      </c>
    </row>
    <row r="91" spans="1:10" x14ac:dyDescent="0.3">
      <c r="A91">
        <v>90</v>
      </c>
      <c r="B91" t="s">
        <v>96</v>
      </c>
      <c r="C91" t="s">
        <v>213</v>
      </c>
      <c r="D91">
        <v>3000000</v>
      </c>
      <c r="E91">
        <v>2000000</v>
      </c>
      <c r="F91">
        <v>0</v>
      </c>
      <c r="G91">
        <v>0</v>
      </c>
      <c r="H91" t="s">
        <v>81</v>
      </c>
      <c r="I91" t="s">
        <v>8</v>
      </c>
      <c r="J91" s="1">
        <v>3000000</v>
      </c>
    </row>
    <row r="92" spans="1:10" x14ac:dyDescent="0.3">
      <c r="A92">
        <v>91</v>
      </c>
      <c r="B92" t="s">
        <v>97</v>
      </c>
      <c r="C92" t="s">
        <v>413</v>
      </c>
      <c r="D92">
        <v>3000000</v>
      </c>
      <c r="E92">
        <v>0</v>
      </c>
      <c r="F92">
        <v>0</v>
      </c>
      <c r="G92">
        <v>0</v>
      </c>
      <c r="H92" t="s">
        <v>81</v>
      </c>
      <c r="I92" t="s">
        <v>8</v>
      </c>
      <c r="J92" s="1">
        <v>3000000</v>
      </c>
    </row>
    <row r="93" spans="1:10" x14ac:dyDescent="0.3">
      <c r="A93">
        <v>92</v>
      </c>
      <c r="B93" t="s">
        <v>98</v>
      </c>
      <c r="C93" t="s">
        <v>413</v>
      </c>
      <c r="D93">
        <v>3000000</v>
      </c>
      <c r="E93">
        <v>0</v>
      </c>
      <c r="F93">
        <v>0</v>
      </c>
      <c r="G93">
        <v>0</v>
      </c>
      <c r="H93" t="s">
        <v>81</v>
      </c>
      <c r="I93" t="s">
        <v>8</v>
      </c>
      <c r="J93" s="1">
        <v>3000000</v>
      </c>
    </row>
    <row r="94" spans="1:10" x14ac:dyDescent="0.3">
      <c r="A94">
        <v>93</v>
      </c>
      <c r="B94" t="s">
        <v>99</v>
      </c>
      <c r="C94" t="s">
        <v>304</v>
      </c>
      <c r="D94">
        <v>3000000</v>
      </c>
      <c r="E94">
        <v>0</v>
      </c>
      <c r="F94">
        <v>0</v>
      </c>
      <c r="G94">
        <v>2000000</v>
      </c>
      <c r="H94" t="s">
        <v>81</v>
      </c>
      <c r="I94" t="s">
        <v>8</v>
      </c>
      <c r="J94" s="1">
        <v>3000000</v>
      </c>
    </row>
    <row r="95" spans="1:10" x14ac:dyDescent="0.3">
      <c r="A95">
        <v>94</v>
      </c>
      <c r="B95" t="s">
        <v>100</v>
      </c>
      <c r="C95" t="s">
        <v>213</v>
      </c>
      <c r="D95">
        <v>20000000</v>
      </c>
      <c r="E95">
        <v>0</v>
      </c>
      <c r="F95">
        <v>0</v>
      </c>
      <c r="G95">
        <v>80000000</v>
      </c>
      <c r="H95" t="s">
        <v>101</v>
      </c>
      <c r="I95" t="s">
        <v>1</v>
      </c>
      <c r="J95" s="1">
        <v>20000000</v>
      </c>
    </row>
    <row r="96" spans="1:10" x14ac:dyDescent="0.3">
      <c r="A96">
        <v>95</v>
      </c>
      <c r="B96" t="s">
        <v>102</v>
      </c>
      <c r="C96" t="s">
        <v>213</v>
      </c>
      <c r="D96">
        <v>20000000</v>
      </c>
      <c r="E96">
        <v>0</v>
      </c>
      <c r="F96">
        <v>0</v>
      </c>
      <c r="G96">
        <v>140000000</v>
      </c>
      <c r="H96" t="s">
        <v>101</v>
      </c>
      <c r="I96" t="s">
        <v>1</v>
      </c>
      <c r="J96" s="1">
        <v>20000000</v>
      </c>
    </row>
    <row r="97" spans="1:10" x14ac:dyDescent="0.3">
      <c r="A97">
        <v>96</v>
      </c>
      <c r="B97" t="s">
        <v>103</v>
      </c>
      <c r="C97" t="s">
        <v>216</v>
      </c>
      <c r="D97">
        <v>20000000</v>
      </c>
      <c r="E97">
        <v>0</v>
      </c>
      <c r="F97">
        <v>32000000</v>
      </c>
      <c r="G97">
        <v>0</v>
      </c>
      <c r="H97" t="s">
        <v>101</v>
      </c>
      <c r="I97" t="s">
        <v>1</v>
      </c>
      <c r="J97" s="1">
        <v>20000000</v>
      </c>
    </row>
    <row r="98" spans="1:10" x14ac:dyDescent="0.3">
      <c r="A98">
        <v>97</v>
      </c>
      <c r="B98" t="s">
        <v>104</v>
      </c>
      <c r="C98" t="s">
        <v>215</v>
      </c>
      <c r="D98">
        <v>3000000</v>
      </c>
      <c r="E98">
        <v>2000000</v>
      </c>
      <c r="F98">
        <v>0</v>
      </c>
      <c r="G98">
        <v>0</v>
      </c>
      <c r="H98" t="s">
        <v>101</v>
      </c>
      <c r="I98" t="s">
        <v>8</v>
      </c>
      <c r="J98" s="1">
        <v>3000000</v>
      </c>
    </row>
    <row r="99" spans="1:10" x14ac:dyDescent="0.3">
      <c r="A99">
        <v>98</v>
      </c>
      <c r="B99" t="s">
        <v>105</v>
      </c>
      <c r="C99" t="s">
        <v>413</v>
      </c>
      <c r="D99">
        <v>7500000</v>
      </c>
      <c r="E99">
        <v>0</v>
      </c>
      <c r="F99">
        <v>0</v>
      </c>
      <c r="G99">
        <v>0</v>
      </c>
      <c r="H99" t="s">
        <v>101</v>
      </c>
      <c r="I99" t="s">
        <v>1</v>
      </c>
      <c r="J99" s="1">
        <v>7500000</v>
      </c>
    </row>
    <row r="100" spans="1:10" x14ac:dyDescent="0.3">
      <c r="A100">
        <v>99</v>
      </c>
      <c r="B100" t="s">
        <v>106</v>
      </c>
      <c r="C100" t="s">
        <v>215</v>
      </c>
      <c r="D100">
        <v>20000000</v>
      </c>
      <c r="E100">
        <v>0</v>
      </c>
      <c r="F100">
        <v>0</v>
      </c>
      <c r="G100">
        <v>19000000</v>
      </c>
      <c r="H100" t="s">
        <v>101</v>
      </c>
      <c r="I100" t="s">
        <v>1</v>
      </c>
      <c r="J100" s="1">
        <v>20000000</v>
      </c>
    </row>
    <row r="101" spans="1:10" x14ac:dyDescent="0.3">
      <c r="A101">
        <v>100</v>
      </c>
      <c r="B101" t="s">
        <v>107</v>
      </c>
      <c r="C101" t="s">
        <v>413</v>
      </c>
      <c r="D101">
        <v>10000000</v>
      </c>
      <c r="E101">
        <v>0</v>
      </c>
      <c r="F101">
        <v>0</v>
      </c>
      <c r="G101">
        <v>0</v>
      </c>
      <c r="H101" t="s">
        <v>101</v>
      </c>
      <c r="I101" t="s">
        <v>1</v>
      </c>
      <c r="J101" s="1">
        <v>10000000</v>
      </c>
    </row>
    <row r="102" spans="1:10" x14ac:dyDescent="0.3">
      <c r="A102">
        <v>101</v>
      </c>
      <c r="B102" t="s">
        <v>108</v>
      </c>
      <c r="C102" t="s">
        <v>413</v>
      </c>
      <c r="D102">
        <v>7500000</v>
      </c>
      <c r="E102">
        <v>0</v>
      </c>
      <c r="F102">
        <v>0</v>
      </c>
      <c r="G102">
        <v>0</v>
      </c>
      <c r="H102" t="s">
        <v>101</v>
      </c>
      <c r="I102" t="s">
        <v>1</v>
      </c>
      <c r="J102" s="1">
        <v>7500000</v>
      </c>
    </row>
    <row r="103" spans="1:10" x14ac:dyDescent="0.3">
      <c r="A103">
        <v>102</v>
      </c>
      <c r="B103" t="s">
        <v>109</v>
      </c>
      <c r="C103" t="s">
        <v>213</v>
      </c>
      <c r="D103">
        <v>7500000</v>
      </c>
      <c r="E103">
        <v>0</v>
      </c>
      <c r="F103">
        <v>19000000</v>
      </c>
      <c r="G103">
        <v>0</v>
      </c>
      <c r="H103" t="s">
        <v>101</v>
      </c>
      <c r="I103" t="s">
        <v>1</v>
      </c>
      <c r="J103" s="1">
        <v>7500000</v>
      </c>
    </row>
    <row r="104" spans="1:10" x14ac:dyDescent="0.3">
      <c r="A104">
        <v>103</v>
      </c>
      <c r="B104" t="s">
        <v>110</v>
      </c>
      <c r="C104" t="s">
        <v>210</v>
      </c>
      <c r="D104">
        <v>3000000</v>
      </c>
      <c r="E104">
        <v>36000000</v>
      </c>
      <c r="F104">
        <v>0</v>
      </c>
      <c r="G104">
        <v>0</v>
      </c>
      <c r="H104" t="s">
        <v>101</v>
      </c>
      <c r="I104" t="s">
        <v>8</v>
      </c>
      <c r="J104" s="1">
        <v>3000000</v>
      </c>
    </row>
    <row r="105" spans="1:10" x14ac:dyDescent="0.3">
      <c r="A105">
        <v>104</v>
      </c>
      <c r="B105" t="s">
        <v>111</v>
      </c>
      <c r="C105" t="s">
        <v>213</v>
      </c>
      <c r="D105">
        <v>5000000</v>
      </c>
      <c r="E105">
        <v>0</v>
      </c>
      <c r="F105">
        <v>0</v>
      </c>
      <c r="G105">
        <v>5000000</v>
      </c>
      <c r="H105" t="s">
        <v>101</v>
      </c>
      <c r="I105" t="s">
        <v>8</v>
      </c>
      <c r="J105" s="1">
        <v>5000000</v>
      </c>
    </row>
    <row r="106" spans="1:10" x14ac:dyDescent="0.3">
      <c r="A106">
        <v>105</v>
      </c>
      <c r="B106" t="s">
        <v>112</v>
      </c>
      <c r="C106" t="s">
        <v>413</v>
      </c>
      <c r="D106">
        <v>3000000</v>
      </c>
      <c r="E106">
        <v>0</v>
      </c>
      <c r="F106">
        <v>0</v>
      </c>
      <c r="G106">
        <v>0</v>
      </c>
      <c r="H106" t="s">
        <v>101</v>
      </c>
      <c r="I106" t="s">
        <v>8</v>
      </c>
      <c r="J106" s="1">
        <v>3000000</v>
      </c>
    </row>
    <row r="107" spans="1:10" x14ac:dyDescent="0.3">
      <c r="A107">
        <v>106</v>
      </c>
      <c r="B107" t="s">
        <v>113</v>
      </c>
      <c r="C107" t="s">
        <v>215</v>
      </c>
      <c r="D107">
        <v>3000000</v>
      </c>
      <c r="E107">
        <v>0</v>
      </c>
      <c r="F107">
        <v>0</v>
      </c>
      <c r="G107">
        <v>3000000</v>
      </c>
      <c r="H107" t="s">
        <v>101</v>
      </c>
      <c r="I107" t="s">
        <v>8</v>
      </c>
      <c r="J107" s="1">
        <v>3000000</v>
      </c>
    </row>
    <row r="108" spans="1:10" x14ac:dyDescent="0.3">
      <c r="A108">
        <v>107</v>
      </c>
      <c r="B108" t="s">
        <v>114</v>
      </c>
      <c r="C108" t="s">
        <v>413</v>
      </c>
      <c r="D108">
        <v>3000000</v>
      </c>
      <c r="E108">
        <v>0</v>
      </c>
      <c r="F108">
        <v>0</v>
      </c>
      <c r="G108">
        <v>0</v>
      </c>
      <c r="H108" t="s">
        <v>101</v>
      </c>
      <c r="I108" t="s">
        <v>8</v>
      </c>
      <c r="J108" s="1">
        <v>3000000</v>
      </c>
    </row>
    <row r="109" spans="1:10" x14ac:dyDescent="0.3">
      <c r="A109">
        <v>108</v>
      </c>
      <c r="B109" t="s">
        <v>115</v>
      </c>
      <c r="C109" t="s">
        <v>413</v>
      </c>
      <c r="D109">
        <v>3000000</v>
      </c>
      <c r="E109">
        <v>0</v>
      </c>
      <c r="F109">
        <v>0</v>
      </c>
      <c r="G109">
        <v>0</v>
      </c>
      <c r="H109" t="s">
        <v>101</v>
      </c>
      <c r="I109" t="s">
        <v>8</v>
      </c>
      <c r="J109" s="1">
        <v>3000000</v>
      </c>
    </row>
    <row r="110" spans="1:10" x14ac:dyDescent="0.3">
      <c r="A110">
        <v>109</v>
      </c>
      <c r="B110" t="s">
        <v>116</v>
      </c>
      <c r="C110" t="s">
        <v>215</v>
      </c>
      <c r="D110">
        <v>3000000</v>
      </c>
      <c r="E110">
        <v>0</v>
      </c>
      <c r="F110">
        <v>0</v>
      </c>
      <c r="G110">
        <v>20000000</v>
      </c>
      <c r="H110" t="s">
        <v>101</v>
      </c>
      <c r="I110" t="s">
        <v>8</v>
      </c>
      <c r="J110" s="1">
        <v>3000000</v>
      </c>
    </row>
    <row r="111" spans="1:10" x14ac:dyDescent="0.3">
      <c r="A111">
        <v>110</v>
      </c>
      <c r="B111" t="s">
        <v>117</v>
      </c>
      <c r="C111" t="s">
        <v>413</v>
      </c>
      <c r="D111">
        <v>3000000</v>
      </c>
      <c r="E111">
        <v>0</v>
      </c>
      <c r="F111">
        <v>0</v>
      </c>
      <c r="G111">
        <v>0</v>
      </c>
      <c r="H111" t="s">
        <v>101</v>
      </c>
      <c r="I111" t="s">
        <v>8</v>
      </c>
      <c r="J111" s="1">
        <v>3000000</v>
      </c>
    </row>
    <row r="112" spans="1:10" x14ac:dyDescent="0.3">
      <c r="A112">
        <v>111</v>
      </c>
      <c r="B112" t="s">
        <v>118</v>
      </c>
      <c r="C112" t="s">
        <v>413</v>
      </c>
      <c r="D112">
        <v>3000000</v>
      </c>
      <c r="E112">
        <v>0</v>
      </c>
      <c r="F112">
        <v>0</v>
      </c>
      <c r="G112">
        <v>0</v>
      </c>
      <c r="H112" t="s">
        <v>101</v>
      </c>
      <c r="I112" t="s">
        <v>8</v>
      </c>
      <c r="J112" s="1">
        <v>3000000</v>
      </c>
    </row>
    <row r="113" spans="1:10" x14ac:dyDescent="0.3">
      <c r="A113">
        <v>112</v>
      </c>
      <c r="B113" t="s">
        <v>119</v>
      </c>
      <c r="C113" t="s">
        <v>309</v>
      </c>
      <c r="D113">
        <v>20000000</v>
      </c>
      <c r="E113">
        <v>0</v>
      </c>
      <c r="F113">
        <v>0</v>
      </c>
      <c r="G113">
        <v>122500000</v>
      </c>
      <c r="H113" t="s">
        <v>120</v>
      </c>
      <c r="I113" t="s">
        <v>1</v>
      </c>
      <c r="J113" s="1">
        <v>20000000</v>
      </c>
    </row>
    <row r="114" spans="1:10" x14ac:dyDescent="0.3">
      <c r="A114">
        <v>113</v>
      </c>
      <c r="B114" t="s">
        <v>121</v>
      </c>
      <c r="C114" t="s">
        <v>213</v>
      </c>
      <c r="D114">
        <v>20000000</v>
      </c>
      <c r="E114">
        <v>0</v>
      </c>
      <c r="F114">
        <v>0</v>
      </c>
      <c r="G114">
        <v>65000000</v>
      </c>
      <c r="H114" t="s">
        <v>120</v>
      </c>
      <c r="I114" t="s">
        <v>1</v>
      </c>
      <c r="J114" s="1">
        <v>20000000</v>
      </c>
    </row>
    <row r="115" spans="1:10" x14ac:dyDescent="0.3">
      <c r="A115">
        <v>114</v>
      </c>
      <c r="B115" t="s">
        <v>122</v>
      </c>
      <c r="C115" t="s">
        <v>413</v>
      </c>
      <c r="D115">
        <v>20000000</v>
      </c>
      <c r="E115">
        <v>0</v>
      </c>
      <c r="F115">
        <v>0</v>
      </c>
      <c r="G115">
        <v>0</v>
      </c>
      <c r="H115" t="s">
        <v>120</v>
      </c>
      <c r="I115" t="s">
        <v>1</v>
      </c>
      <c r="J115" s="1">
        <v>20000000</v>
      </c>
    </row>
    <row r="116" spans="1:10" x14ac:dyDescent="0.3">
      <c r="A116">
        <v>115</v>
      </c>
      <c r="B116" t="s">
        <v>123</v>
      </c>
      <c r="C116" t="s">
        <v>413</v>
      </c>
      <c r="D116">
        <v>20000000</v>
      </c>
      <c r="E116">
        <v>0</v>
      </c>
      <c r="F116">
        <v>0</v>
      </c>
      <c r="G116">
        <v>0</v>
      </c>
      <c r="H116" t="s">
        <v>120</v>
      </c>
      <c r="I116" t="s">
        <v>1</v>
      </c>
      <c r="J116" s="1">
        <v>20000000</v>
      </c>
    </row>
    <row r="117" spans="1:10" x14ac:dyDescent="0.3">
      <c r="A117">
        <v>116</v>
      </c>
      <c r="B117" t="s">
        <v>124</v>
      </c>
      <c r="C117" t="s">
        <v>215</v>
      </c>
      <c r="D117">
        <v>12500000</v>
      </c>
      <c r="E117">
        <v>0</v>
      </c>
      <c r="F117">
        <v>0</v>
      </c>
      <c r="G117">
        <v>42000000</v>
      </c>
      <c r="H117" t="s">
        <v>120</v>
      </c>
      <c r="I117" t="s">
        <v>1</v>
      </c>
      <c r="J117" s="1">
        <v>12500000</v>
      </c>
    </row>
    <row r="118" spans="1:10" x14ac:dyDescent="0.3">
      <c r="A118">
        <v>117</v>
      </c>
      <c r="B118" t="s">
        <v>125</v>
      </c>
      <c r="C118" t="s">
        <v>215</v>
      </c>
      <c r="D118">
        <v>3000000</v>
      </c>
      <c r="E118">
        <v>0</v>
      </c>
      <c r="F118">
        <v>2000000</v>
      </c>
      <c r="G118">
        <v>0</v>
      </c>
      <c r="H118" t="s">
        <v>120</v>
      </c>
      <c r="I118" t="s">
        <v>8</v>
      </c>
      <c r="J118" s="1">
        <v>3000000</v>
      </c>
    </row>
    <row r="119" spans="1:10" x14ac:dyDescent="0.3">
      <c r="A119">
        <v>118</v>
      </c>
      <c r="B119" t="s">
        <v>126</v>
      </c>
      <c r="C119" t="s">
        <v>413</v>
      </c>
      <c r="D119">
        <v>20000000</v>
      </c>
      <c r="E119">
        <v>0</v>
      </c>
      <c r="F119">
        <v>0</v>
      </c>
      <c r="G119">
        <v>0</v>
      </c>
      <c r="H119" t="s">
        <v>120</v>
      </c>
      <c r="I119" t="s">
        <v>1</v>
      </c>
      <c r="J119" s="1">
        <v>20000000</v>
      </c>
    </row>
    <row r="120" spans="1:10" x14ac:dyDescent="0.3">
      <c r="A120">
        <v>119</v>
      </c>
      <c r="B120" t="s">
        <v>127</v>
      </c>
      <c r="C120" t="s">
        <v>413</v>
      </c>
      <c r="D120">
        <v>3000000</v>
      </c>
      <c r="E120">
        <v>0</v>
      </c>
      <c r="F120">
        <v>0</v>
      </c>
      <c r="G120">
        <v>0</v>
      </c>
      <c r="H120" t="s">
        <v>120</v>
      </c>
      <c r="I120" t="s">
        <v>8</v>
      </c>
      <c r="J120" s="1">
        <v>3000000</v>
      </c>
    </row>
    <row r="121" spans="1:10" x14ac:dyDescent="0.3">
      <c r="A121">
        <v>120</v>
      </c>
      <c r="B121" t="s">
        <v>128</v>
      </c>
      <c r="C121" t="s">
        <v>413</v>
      </c>
      <c r="D121">
        <v>20000000</v>
      </c>
      <c r="E121">
        <v>0</v>
      </c>
      <c r="F121">
        <v>0</v>
      </c>
      <c r="G121">
        <v>0</v>
      </c>
      <c r="H121" t="s">
        <v>120</v>
      </c>
      <c r="I121" t="s">
        <v>1</v>
      </c>
      <c r="J121" s="1">
        <v>20000000</v>
      </c>
    </row>
    <row r="122" spans="1:10" x14ac:dyDescent="0.3">
      <c r="A122">
        <v>121</v>
      </c>
      <c r="B122" t="s">
        <v>129</v>
      </c>
      <c r="C122" t="s">
        <v>215</v>
      </c>
      <c r="D122">
        <v>15000000</v>
      </c>
      <c r="E122">
        <v>5000000</v>
      </c>
      <c r="F122">
        <v>0</v>
      </c>
      <c r="G122">
        <v>0</v>
      </c>
      <c r="H122" t="s">
        <v>120</v>
      </c>
      <c r="I122" t="s">
        <v>1</v>
      </c>
      <c r="J122" s="1">
        <v>15000000</v>
      </c>
    </row>
    <row r="123" spans="1:10" x14ac:dyDescent="0.3">
      <c r="A123">
        <v>122</v>
      </c>
      <c r="B123" t="s">
        <v>130</v>
      </c>
      <c r="C123" t="s">
        <v>213</v>
      </c>
      <c r="D123">
        <v>20000000</v>
      </c>
      <c r="E123">
        <v>20000000</v>
      </c>
      <c r="F123">
        <v>0</v>
      </c>
      <c r="G123">
        <v>100000000</v>
      </c>
      <c r="H123" t="s">
        <v>120</v>
      </c>
      <c r="I123" t="s">
        <v>1</v>
      </c>
      <c r="J123" s="1">
        <v>20000000</v>
      </c>
    </row>
    <row r="124" spans="1:10" x14ac:dyDescent="0.3">
      <c r="A124">
        <v>123</v>
      </c>
      <c r="B124" t="s">
        <v>131</v>
      </c>
      <c r="C124" t="s">
        <v>413</v>
      </c>
      <c r="D124">
        <v>3000000</v>
      </c>
      <c r="E124">
        <v>0</v>
      </c>
      <c r="F124">
        <v>0</v>
      </c>
      <c r="G124">
        <v>0</v>
      </c>
      <c r="H124" t="s">
        <v>120</v>
      </c>
      <c r="I124" t="s">
        <v>8</v>
      </c>
      <c r="J124" s="1">
        <v>3000000</v>
      </c>
    </row>
    <row r="125" spans="1:10" x14ac:dyDescent="0.3">
      <c r="A125">
        <v>124</v>
      </c>
      <c r="B125" t="s">
        <v>132</v>
      </c>
      <c r="C125" t="s">
        <v>213</v>
      </c>
      <c r="D125">
        <v>3000000</v>
      </c>
      <c r="E125">
        <v>0</v>
      </c>
      <c r="F125">
        <v>4500000</v>
      </c>
      <c r="G125">
        <v>0</v>
      </c>
      <c r="H125" t="s">
        <v>120</v>
      </c>
      <c r="I125" t="s">
        <v>8</v>
      </c>
      <c r="J125" s="1">
        <v>3000000</v>
      </c>
    </row>
    <row r="126" spans="1:10" x14ac:dyDescent="0.3">
      <c r="A126">
        <v>125</v>
      </c>
      <c r="B126" t="s">
        <v>133</v>
      </c>
      <c r="C126" t="s">
        <v>215</v>
      </c>
      <c r="D126">
        <v>3000000</v>
      </c>
      <c r="E126">
        <v>0</v>
      </c>
      <c r="F126">
        <v>0</v>
      </c>
      <c r="G126">
        <v>38000000</v>
      </c>
      <c r="H126" t="s">
        <v>120</v>
      </c>
      <c r="I126" t="s">
        <v>8</v>
      </c>
      <c r="J126" s="1">
        <v>3000000</v>
      </c>
    </row>
    <row r="127" spans="1:10" x14ac:dyDescent="0.3">
      <c r="A127">
        <v>126</v>
      </c>
      <c r="B127" t="s">
        <v>134</v>
      </c>
      <c r="C127" t="s">
        <v>413</v>
      </c>
      <c r="D127">
        <v>12500000</v>
      </c>
      <c r="E127">
        <v>0</v>
      </c>
      <c r="F127">
        <v>0</v>
      </c>
      <c r="G127">
        <v>0</v>
      </c>
      <c r="H127" t="s">
        <v>120</v>
      </c>
      <c r="I127" t="s">
        <v>1</v>
      </c>
      <c r="J127" s="1">
        <v>12500000</v>
      </c>
    </row>
    <row r="128" spans="1:10" x14ac:dyDescent="0.3">
      <c r="A128">
        <v>127</v>
      </c>
      <c r="B128" t="s">
        <v>135</v>
      </c>
      <c r="C128" t="s">
        <v>304</v>
      </c>
      <c r="D128">
        <v>3000000</v>
      </c>
      <c r="E128">
        <v>0</v>
      </c>
      <c r="F128">
        <v>2000000</v>
      </c>
      <c r="G128">
        <v>5000000</v>
      </c>
      <c r="H128" t="s">
        <v>120</v>
      </c>
      <c r="I128" t="s">
        <v>8</v>
      </c>
      <c r="J128" s="1">
        <v>3000000</v>
      </c>
    </row>
    <row r="129" spans="1:10" x14ac:dyDescent="0.3">
      <c r="A129">
        <v>128</v>
      </c>
      <c r="B129" t="s">
        <v>136</v>
      </c>
      <c r="C129" t="s">
        <v>413</v>
      </c>
      <c r="D129">
        <v>7500000</v>
      </c>
      <c r="E129">
        <v>0</v>
      </c>
      <c r="F129">
        <v>0</v>
      </c>
      <c r="G129">
        <v>0</v>
      </c>
      <c r="H129" t="s">
        <v>120</v>
      </c>
      <c r="I129" t="s">
        <v>1</v>
      </c>
      <c r="J129" s="1">
        <v>7500000</v>
      </c>
    </row>
    <row r="130" spans="1:10" x14ac:dyDescent="0.3">
      <c r="A130">
        <v>129</v>
      </c>
      <c r="B130" t="s">
        <v>137</v>
      </c>
      <c r="C130" t="s">
        <v>213</v>
      </c>
      <c r="D130">
        <v>7500000</v>
      </c>
      <c r="E130">
        <v>0</v>
      </c>
      <c r="F130">
        <v>0</v>
      </c>
      <c r="G130">
        <v>2000000</v>
      </c>
      <c r="H130" t="s">
        <v>120</v>
      </c>
      <c r="I130" t="s">
        <v>1</v>
      </c>
      <c r="J130" s="1">
        <v>7500000</v>
      </c>
    </row>
    <row r="131" spans="1:10" x14ac:dyDescent="0.3">
      <c r="A131">
        <v>130</v>
      </c>
      <c r="B131" t="s">
        <v>138</v>
      </c>
      <c r="C131" t="s">
        <v>215</v>
      </c>
      <c r="D131">
        <v>3000000</v>
      </c>
      <c r="E131">
        <v>0</v>
      </c>
      <c r="F131">
        <v>0</v>
      </c>
      <c r="G131">
        <v>5000000</v>
      </c>
      <c r="H131" t="s">
        <v>120</v>
      </c>
      <c r="I131" t="s">
        <v>8</v>
      </c>
      <c r="J131" s="1">
        <v>3000000</v>
      </c>
    </row>
    <row r="132" spans="1:10" x14ac:dyDescent="0.3">
      <c r="A132">
        <v>131</v>
      </c>
      <c r="B132" t="s">
        <v>139</v>
      </c>
      <c r="C132" t="s">
        <v>413</v>
      </c>
      <c r="D132">
        <v>3000000</v>
      </c>
      <c r="E132">
        <v>0</v>
      </c>
      <c r="F132">
        <v>0</v>
      </c>
      <c r="G132">
        <v>0</v>
      </c>
      <c r="H132" t="s">
        <v>120</v>
      </c>
      <c r="I132" t="s">
        <v>8</v>
      </c>
      <c r="J132" s="1">
        <v>3000000</v>
      </c>
    </row>
    <row r="133" spans="1:10" x14ac:dyDescent="0.3">
      <c r="A133">
        <v>132</v>
      </c>
      <c r="B133" t="s">
        <v>140</v>
      </c>
      <c r="C133" t="s">
        <v>413</v>
      </c>
      <c r="D133">
        <v>3000000</v>
      </c>
      <c r="E133">
        <v>0</v>
      </c>
      <c r="F133">
        <v>0</v>
      </c>
      <c r="G133">
        <v>0</v>
      </c>
      <c r="H133" t="s">
        <v>120</v>
      </c>
      <c r="I133" t="s">
        <v>8</v>
      </c>
      <c r="J133" s="1">
        <v>3000000</v>
      </c>
    </row>
    <row r="134" spans="1:10" x14ac:dyDescent="0.3">
      <c r="A134">
        <v>133</v>
      </c>
      <c r="B134" t="s">
        <v>141</v>
      </c>
      <c r="C134" t="s">
        <v>413</v>
      </c>
      <c r="D134">
        <v>3000000</v>
      </c>
      <c r="E134">
        <v>0</v>
      </c>
      <c r="F134">
        <v>0</v>
      </c>
      <c r="G134">
        <v>0</v>
      </c>
      <c r="H134" t="s">
        <v>120</v>
      </c>
      <c r="I134" t="s">
        <v>8</v>
      </c>
      <c r="J134" s="1">
        <v>3000000</v>
      </c>
    </row>
    <row r="135" spans="1:10" x14ac:dyDescent="0.3">
      <c r="A135">
        <v>134</v>
      </c>
      <c r="B135" t="s">
        <v>142</v>
      </c>
      <c r="C135" t="s">
        <v>413</v>
      </c>
      <c r="D135">
        <v>3000000</v>
      </c>
      <c r="E135">
        <v>0</v>
      </c>
      <c r="F135">
        <v>0</v>
      </c>
      <c r="G135">
        <v>0</v>
      </c>
      <c r="H135" t="s">
        <v>120</v>
      </c>
      <c r="I135" t="s">
        <v>8</v>
      </c>
      <c r="J135" s="1">
        <v>3000000</v>
      </c>
    </row>
    <row r="136" spans="1:10" x14ac:dyDescent="0.3">
      <c r="A136">
        <v>135</v>
      </c>
      <c r="B136" t="s">
        <v>143</v>
      </c>
      <c r="C136" t="s">
        <v>215</v>
      </c>
      <c r="D136">
        <v>20000000</v>
      </c>
      <c r="E136">
        <v>0</v>
      </c>
      <c r="F136">
        <v>0</v>
      </c>
      <c r="G136">
        <v>80000000</v>
      </c>
      <c r="H136" t="s">
        <v>144</v>
      </c>
      <c r="I136" t="s">
        <v>1</v>
      </c>
      <c r="J136" s="1">
        <v>20000000</v>
      </c>
    </row>
    <row r="137" spans="1:10" x14ac:dyDescent="0.3">
      <c r="A137">
        <v>136</v>
      </c>
      <c r="B137" t="s">
        <v>145</v>
      </c>
      <c r="C137" t="s">
        <v>213</v>
      </c>
      <c r="D137">
        <v>10000000</v>
      </c>
      <c r="E137">
        <v>0</v>
      </c>
      <c r="F137">
        <v>0</v>
      </c>
      <c r="G137">
        <v>2000000</v>
      </c>
      <c r="H137" t="s">
        <v>144</v>
      </c>
      <c r="I137" t="s">
        <v>1</v>
      </c>
      <c r="J137" s="1">
        <v>10000000</v>
      </c>
    </row>
    <row r="138" spans="1:10" x14ac:dyDescent="0.3">
      <c r="A138">
        <v>137</v>
      </c>
      <c r="B138" t="s">
        <v>146</v>
      </c>
      <c r="C138" t="s">
        <v>215</v>
      </c>
      <c r="D138">
        <v>20000000</v>
      </c>
      <c r="E138">
        <v>15000000</v>
      </c>
      <c r="F138">
        <v>0</v>
      </c>
      <c r="G138">
        <v>107500000</v>
      </c>
      <c r="H138" t="s">
        <v>144</v>
      </c>
      <c r="I138" t="s">
        <v>1</v>
      </c>
      <c r="J138" s="1">
        <v>20000000</v>
      </c>
    </row>
    <row r="139" spans="1:10" x14ac:dyDescent="0.3">
      <c r="A139">
        <v>138</v>
      </c>
      <c r="B139" t="s">
        <v>147</v>
      </c>
      <c r="C139" t="s">
        <v>213</v>
      </c>
      <c r="D139">
        <v>20000000</v>
      </c>
      <c r="E139">
        <v>0</v>
      </c>
      <c r="F139">
        <v>0</v>
      </c>
      <c r="G139">
        <v>7000000</v>
      </c>
      <c r="H139" t="s">
        <v>144</v>
      </c>
      <c r="I139" t="s">
        <v>1</v>
      </c>
      <c r="J139" s="1">
        <v>20000000</v>
      </c>
    </row>
    <row r="140" spans="1:10" x14ac:dyDescent="0.3">
      <c r="A140">
        <v>139</v>
      </c>
      <c r="B140" t="s">
        <v>148</v>
      </c>
      <c r="C140" t="s">
        <v>215</v>
      </c>
      <c r="D140">
        <v>15000000</v>
      </c>
      <c r="E140">
        <v>0</v>
      </c>
      <c r="F140">
        <v>0</v>
      </c>
      <c r="G140">
        <v>80000000</v>
      </c>
      <c r="H140" t="s">
        <v>144</v>
      </c>
      <c r="I140" t="s">
        <v>1</v>
      </c>
      <c r="J140" s="1">
        <v>15000000</v>
      </c>
    </row>
    <row r="141" spans="1:10" x14ac:dyDescent="0.3">
      <c r="A141">
        <v>140</v>
      </c>
      <c r="B141" t="s">
        <v>149</v>
      </c>
      <c r="C141" t="s">
        <v>213</v>
      </c>
      <c r="D141">
        <v>20000000</v>
      </c>
      <c r="E141">
        <v>0</v>
      </c>
      <c r="F141">
        <v>0</v>
      </c>
      <c r="G141">
        <v>5000000</v>
      </c>
      <c r="H141" t="s">
        <v>144</v>
      </c>
      <c r="I141" t="s">
        <v>1</v>
      </c>
      <c r="J141" s="1">
        <v>20000000</v>
      </c>
    </row>
    <row r="142" spans="1:10" x14ac:dyDescent="0.3">
      <c r="A142">
        <v>141</v>
      </c>
      <c r="B142" t="s">
        <v>150</v>
      </c>
      <c r="C142" t="s">
        <v>413</v>
      </c>
      <c r="D142">
        <v>7500000</v>
      </c>
      <c r="E142">
        <v>0</v>
      </c>
      <c r="F142">
        <v>0</v>
      </c>
      <c r="G142">
        <v>0</v>
      </c>
      <c r="H142" t="s">
        <v>144</v>
      </c>
      <c r="I142" t="s">
        <v>1</v>
      </c>
      <c r="J142" s="1">
        <v>7500000</v>
      </c>
    </row>
    <row r="143" spans="1:10" x14ac:dyDescent="0.3">
      <c r="A143">
        <v>142</v>
      </c>
      <c r="B143" t="s">
        <v>151</v>
      </c>
      <c r="C143" t="s">
        <v>413</v>
      </c>
      <c r="D143">
        <v>3000000</v>
      </c>
      <c r="E143">
        <v>0</v>
      </c>
      <c r="F143">
        <v>0</v>
      </c>
      <c r="G143">
        <v>0</v>
      </c>
      <c r="H143" t="s">
        <v>144</v>
      </c>
      <c r="I143" t="s">
        <v>8</v>
      </c>
      <c r="J143" s="1">
        <v>3000000</v>
      </c>
    </row>
    <row r="144" spans="1:10" x14ac:dyDescent="0.3">
      <c r="A144">
        <v>143</v>
      </c>
      <c r="B144" t="s">
        <v>152</v>
      </c>
      <c r="C144" t="s">
        <v>413</v>
      </c>
      <c r="D144">
        <v>3000000</v>
      </c>
      <c r="E144">
        <v>0</v>
      </c>
      <c r="F144">
        <v>0</v>
      </c>
      <c r="G144">
        <v>0</v>
      </c>
      <c r="H144" t="s">
        <v>144</v>
      </c>
      <c r="I144" t="s">
        <v>8</v>
      </c>
      <c r="J144" s="1">
        <v>3000000</v>
      </c>
    </row>
    <row r="145" spans="1:10" x14ac:dyDescent="0.3">
      <c r="A145">
        <v>144</v>
      </c>
      <c r="B145" t="s">
        <v>153</v>
      </c>
      <c r="C145" t="s">
        <v>216</v>
      </c>
      <c r="D145">
        <v>3000000</v>
      </c>
      <c r="E145">
        <v>58000000</v>
      </c>
      <c r="F145">
        <v>0</v>
      </c>
      <c r="G145">
        <v>0</v>
      </c>
      <c r="H145" t="s">
        <v>144</v>
      </c>
      <c r="I145" t="s">
        <v>8</v>
      </c>
      <c r="J145" s="1">
        <v>3000000</v>
      </c>
    </row>
    <row r="146" spans="1:10" x14ac:dyDescent="0.3">
      <c r="A146">
        <v>145</v>
      </c>
      <c r="B146" t="s">
        <v>154</v>
      </c>
      <c r="C146" t="s">
        <v>215</v>
      </c>
      <c r="D146">
        <v>3000000</v>
      </c>
      <c r="E146">
        <v>0</v>
      </c>
      <c r="F146">
        <v>2000000</v>
      </c>
      <c r="G146">
        <v>0</v>
      </c>
      <c r="H146" t="s">
        <v>144</v>
      </c>
      <c r="I146" t="s">
        <v>8</v>
      </c>
      <c r="J146" s="1">
        <v>3000000</v>
      </c>
    </row>
    <row r="147" spans="1:10" x14ac:dyDescent="0.3">
      <c r="A147">
        <v>146</v>
      </c>
      <c r="B147" t="s">
        <v>155</v>
      </c>
      <c r="C147" t="s">
        <v>213</v>
      </c>
      <c r="D147">
        <v>3000000</v>
      </c>
      <c r="E147">
        <v>0</v>
      </c>
      <c r="F147">
        <v>0</v>
      </c>
      <c r="G147">
        <v>5500000</v>
      </c>
      <c r="H147" t="s">
        <v>144</v>
      </c>
      <c r="I147" t="s">
        <v>8</v>
      </c>
      <c r="J147" s="1">
        <v>3000000</v>
      </c>
    </row>
    <row r="148" spans="1:10" x14ac:dyDescent="0.3">
      <c r="A148">
        <v>147</v>
      </c>
      <c r="B148" t="s">
        <v>156</v>
      </c>
      <c r="C148" t="s">
        <v>210</v>
      </c>
      <c r="D148">
        <v>3000000</v>
      </c>
      <c r="E148">
        <v>0</v>
      </c>
      <c r="F148">
        <v>2000000</v>
      </c>
      <c r="G148">
        <v>0</v>
      </c>
      <c r="H148" t="s">
        <v>144</v>
      </c>
      <c r="I148" t="s">
        <v>8</v>
      </c>
      <c r="J148" s="1">
        <v>3000000</v>
      </c>
    </row>
    <row r="149" spans="1:10" x14ac:dyDescent="0.3">
      <c r="A149">
        <v>148</v>
      </c>
      <c r="B149" t="s">
        <v>157</v>
      </c>
      <c r="C149" t="s">
        <v>413</v>
      </c>
      <c r="D149">
        <v>3000000</v>
      </c>
      <c r="E149">
        <v>0</v>
      </c>
      <c r="F149">
        <v>0</v>
      </c>
      <c r="G149">
        <v>0</v>
      </c>
      <c r="H149" t="s">
        <v>144</v>
      </c>
      <c r="I149" t="s">
        <v>8</v>
      </c>
      <c r="J149" s="1">
        <v>3000000</v>
      </c>
    </row>
    <row r="150" spans="1:10" x14ac:dyDescent="0.3">
      <c r="A150">
        <v>149</v>
      </c>
      <c r="B150" t="s">
        <v>158</v>
      </c>
      <c r="C150" t="s">
        <v>213</v>
      </c>
      <c r="D150">
        <v>20000000</v>
      </c>
      <c r="E150">
        <v>0</v>
      </c>
      <c r="F150">
        <v>0</v>
      </c>
      <c r="G150">
        <v>77500000</v>
      </c>
      <c r="H150" t="s">
        <v>159</v>
      </c>
      <c r="I150" t="s">
        <v>1</v>
      </c>
      <c r="J150" s="1">
        <v>20000000</v>
      </c>
    </row>
    <row r="151" spans="1:10" x14ac:dyDescent="0.3">
      <c r="A151">
        <v>150</v>
      </c>
      <c r="B151" t="s">
        <v>160</v>
      </c>
      <c r="C151" t="s">
        <v>210</v>
      </c>
      <c r="D151">
        <v>20000000</v>
      </c>
      <c r="E151">
        <v>0</v>
      </c>
      <c r="F151">
        <v>20000000</v>
      </c>
      <c r="G151">
        <v>0</v>
      </c>
      <c r="H151" t="s">
        <v>159</v>
      </c>
      <c r="I151" t="s">
        <v>1</v>
      </c>
      <c r="J151" s="1">
        <v>20000000</v>
      </c>
    </row>
    <row r="152" spans="1:10" x14ac:dyDescent="0.3">
      <c r="A152">
        <v>151</v>
      </c>
      <c r="B152" t="s">
        <v>161</v>
      </c>
      <c r="C152" t="s">
        <v>304</v>
      </c>
      <c r="D152">
        <v>10000000</v>
      </c>
      <c r="E152">
        <v>0</v>
      </c>
      <c r="F152">
        <v>0</v>
      </c>
      <c r="G152">
        <v>2000000</v>
      </c>
      <c r="H152" t="s">
        <v>159</v>
      </c>
      <c r="I152" t="s">
        <v>1</v>
      </c>
      <c r="J152" s="1">
        <v>10000000</v>
      </c>
    </row>
    <row r="153" spans="1:10" x14ac:dyDescent="0.3">
      <c r="A153">
        <v>152</v>
      </c>
      <c r="B153" t="s">
        <v>162</v>
      </c>
      <c r="C153" t="s">
        <v>213</v>
      </c>
      <c r="D153">
        <v>20000000</v>
      </c>
      <c r="E153">
        <v>0</v>
      </c>
      <c r="F153">
        <v>0</v>
      </c>
      <c r="G153">
        <v>42000000</v>
      </c>
      <c r="H153" t="s">
        <v>159</v>
      </c>
      <c r="I153" t="s">
        <v>1</v>
      </c>
      <c r="J153" s="1">
        <v>20000000</v>
      </c>
    </row>
    <row r="154" spans="1:10" x14ac:dyDescent="0.3">
      <c r="A154">
        <v>153</v>
      </c>
      <c r="B154" t="s">
        <v>163</v>
      </c>
      <c r="C154" t="s">
        <v>215</v>
      </c>
      <c r="D154">
        <v>20000000</v>
      </c>
      <c r="E154">
        <v>0</v>
      </c>
      <c r="F154">
        <v>0</v>
      </c>
      <c r="G154">
        <v>115000000</v>
      </c>
      <c r="H154" t="s">
        <v>159</v>
      </c>
      <c r="I154" t="s">
        <v>1</v>
      </c>
      <c r="J154" s="1">
        <v>20000000</v>
      </c>
    </row>
    <row r="155" spans="1:10" x14ac:dyDescent="0.3">
      <c r="A155">
        <v>154</v>
      </c>
      <c r="B155" t="s">
        <v>164</v>
      </c>
      <c r="C155" t="s">
        <v>213</v>
      </c>
      <c r="D155">
        <v>3000000</v>
      </c>
      <c r="E155">
        <v>2000000</v>
      </c>
      <c r="F155">
        <v>0</v>
      </c>
      <c r="G155">
        <v>2000000</v>
      </c>
      <c r="H155" t="s">
        <v>159</v>
      </c>
      <c r="I155" t="s">
        <v>8</v>
      </c>
      <c r="J155" s="1">
        <v>3000000</v>
      </c>
    </row>
    <row r="156" spans="1:10" x14ac:dyDescent="0.3">
      <c r="A156">
        <v>155</v>
      </c>
      <c r="B156" t="s">
        <v>165</v>
      </c>
      <c r="C156" t="s">
        <v>215</v>
      </c>
      <c r="D156">
        <v>20000000</v>
      </c>
      <c r="E156">
        <v>0</v>
      </c>
      <c r="F156">
        <v>0</v>
      </c>
      <c r="G156">
        <v>82500000</v>
      </c>
      <c r="H156" t="s">
        <v>159</v>
      </c>
      <c r="I156" t="s">
        <v>1</v>
      </c>
      <c r="J156" s="1">
        <v>20000000</v>
      </c>
    </row>
    <row r="157" spans="1:10" x14ac:dyDescent="0.3">
      <c r="A157">
        <v>156</v>
      </c>
      <c r="B157" t="s">
        <v>166</v>
      </c>
      <c r="C157" t="s">
        <v>215</v>
      </c>
      <c r="D157">
        <v>20000000</v>
      </c>
      <c r="E157">
        <v>0</v>
      </c>
      <c r="F157">
        <v>0</v>
      </c>
      <c r="G157">
        <v>82500000</v>
      </c>
      <c r="H157" t="s">
        <v>159</v>
      </c>
      <c r="I157" t="s">
        <v>1</v>
      </c>
      <c r="J157" s="1">
        <v>20000000</v>
      </c>
    </row>
    <row r="158" spans="1:10" x14ac:dyDescent="0.3">
      <c r="A158">
        <v>157</v>
      </c>
      <c r="B158" t="s">
        <v>167</v>
      </c>
      <c r="C158" t="s">
        <v>413</v>
      </c>
      <c r="D158">
        <v>12500000</v>
      </c>
      <c r="E158">
        <v>0</v>
      </c>
      <c r="F158">
        <v>0</v>
      </c>
      <c r="G158">
        <v>0</v>
      </c>
      <c r="H158" t="s">
        <v>159</v>
      </c>
      <c r="I158" t="s">
        <v>1</v>
      </c>
      <c r="J158" s="1">
        <v>12500000</v>
      </c>
    </row>
    <row r="159" spans="1:10" x14ac:dyDescent="0.3">
      <c r="A159">
        <v>158</v>
      </c>
      <c r="B159" t="s">
        <v>168</v>
      </c>
      <c r="C159" t="s">
        <v>213</v>
      </c>
      <c r="D159">
        <v>3000000</v>
      </c>
      <c r="E159">
        <v>0</v>
      </c>
      <c r="F159">
        <v>2000000</v>
      </c>
      <c r="G159">
        <v>0</v>
      </c>
      <c r="H159" t="s">
        <v>159</v>
      </c>
      <c r="I159" t="s">
        <v>8</v>
      </c>
      <c r="J159" s="1">
        <v>3000000</v>
      </c>
    </row>
    <row r="160" spans="1:10" x14ac:dyDescent="0.3">
      <c r="A160">
        <v>159</v>
      </c>
      <c r="B160" t="s">
        <v>169</v>
      </c>
      <c r="C160" t="s">
        <v>309</v>
      </c>
      <c r="D160">
        <v>20000000</v>
      </c>
      <c r="E160">
        <v>0</v>
      </c>
      <c r="F160">
        <v>0</v>
      </c>
      <c r="G160">
        <v>77500000</v>
      </c>
      <c r="H160" t="s">
        <v>159</v>
      </c>
      <c r="I160" t="s">
        <v>1</v>
      </c>
      <c r="J160" s="1">
        <v>20000000</v>
      </c>
    </row>
    <row r="161" spans="1:10" x14ac:dyDescent="0.3">
      <c r="A161">
        <v>160</v>
      </c>
      <c r="B161" t="s">
        <v>170</v>
      </c>
      <c r="C161" t="s">
        <v>213</v>
      </c>
      <c r="D161">
        <v>7500000</v>
      </c>
      <c r="E161">
        <v>48000000</v>
      </c>
      <c r="F161">
        <v>0</v>
      </c>
      <c r="G161">
        <v>0</v>
      </c>
      <c r="H161" t="s">
        <v>159</v>
      </c>
      <c r="I161" t="s">
        <v>1</v>
      </c>
      <c r="J161" s="1">
        <v>7500000</v>
      </c>
    </row>
    <row r="162" spans="1:10" x14ac:dyDescent="0.3">
      <c r="A162">
        <v>161</v>
      </c>
      <c r="B162" t="s">
        <v>171</v>
      </c>
      <c r="C162" t="s">
        <v>215</v>
      </c>
      <c r="D162">
        <v>15000000</v>
      </c>
      <c r="E162">
        <v>0</v>
      </c>
      <c r="F162">
        <v>5000000</v>
      </c>
      <c r="G162">
        <v>77500000</v>
      </c>
      <c r="H162" t="s">
        <v>159</v>
      </c>
      <c r="I162" t="s">
        <v>1</v>
      </c>
      <c r="J162" s="1">
        <v>15000000</v>
      </c>
    </row>
    <row r="163" spans="1:10" x14ac:dyDescent="0.3">
      <c r="A163">
        <v>162</v>
      </c>
      <c r="B163" t="s">
        <v>172</v>
      </c>
      <c r="C163" t="s">
        <v>213</v>
      </c>
      <c r="D163">
        <v>10000000</v>
      </c>
      <c r="E163">
        <v>0</v>
      </c>
      <c r="F163">
        <v>0</v>
      </c>
      <c r="G163">
        <v>5000000</v>
      </c>
      <c r="H163" t="s">
        <v>159</v>
      </c>
      <c r="I163" t="s">
        <v>1</v>
      </c>
      <c r="J163" s="1">
        <v>10000000</v>
      </c>
    </row>
    <row r="164" spans="1:10" x14ac:dyDescent="0.3">
      <c r="A164">
        <v>163</v>
      </c>
      <c r="B164" t="s">
        <v>173</v>
      </c>
      <c r="C164" t="s">
        <v>215</v>
      </c>
      <c r="D164">
        <v>3000000</v>
      </c>
      <c r="E164">
        <v>2000000</v>
      </c>
      <c r="F164">
        <v>2000000</v>
      </c>
      <c r="G164">
        <v>0</v>
      </c>
      <c r="H164" t="s">
        <v>159</v>
      </c>
      <c r="I164" t="s">
        <v>8</v>
      </c>
      <c r="J164" s="1">
        <v>3000000</v>
      </c>
    </row>
    <row r="165" spans="1:10" x14ac:dyDescent="0.3">
      <c r="A165">
        <v>164</v>
      </c>
      <c r="B165" t="s">
        <v>174</v>
      </c>
      <c r="C165" t="s">
        <v>215</v>
      </c>
      <c r="D165">
        <v>3000000</v>
      </c>
      <c r="E165">
        <v>0</v>
      </c>
      <c r="F165">
        <v>2000000</v>
      </c>
      <c r="G165">
        <v>0</v>
      </c>
      <c r="H165" t="s">
        <v>159</v>
      </c>
      <c r="I165" t="s">
        <v>8</v>
      </c>
      <c r="J165" s="1">
        <v>3000000</v>
      </c>
    </row>
    <row r="166" spans="1:10" x14ac:dyDescent="0.3">
      <c r="A166">
        <v>165</v>
      </c>
      <c r="B166" t="s">
        <v>175</v>
      </c>
      <c r="C166" t="s">
        <v>413</v>
      </c>
      <c r="D166">
        <v>3000000</v>
      </c>
      <c r="E166">
        <v>0</v>
      </c>
      <c r="F166">
        <v>0</v>
      </c>
      <c r="G166">
        <v>0</v>
      </c>
      <c r="H166" t="s">
        <v>159</v>
      </c>
      <c r="I166" t="s">
        <v>8</v>
      </c>
      <c r="J166" s="1">
        <v>3000000</v>
      </c>
    </row>
    <row r="167" spans="1:10" x14ac:dyDescent="0.3">
      <c r="A167">
        <v>166</v>
      </c>
      <c r="B167" t="s">
        <v>176</v>
      </c>
      <c r="C167" t="s">
        <v>216</v>
      </c>
      <c r="D167">
        <v>3000000</v>
      </c>
      <c r="E167">
        <v>2000000</v>
      </c>
      <c r="F167">
        <v>0</v>
      </c>
      <c r="G167">
        <v>0</v>
      </c>
      <c r="H167" t="s">
        <v>159</v>
      </c>
      <c r="I167" t="s">
        <v>8</v>
      </c>
      <c r="J167" s="1">
        <v>3000000</v>
      </c>
    </row>
    <row r="168" spans="1:10" x14ac:dyDescent="0.3">
      <c r="A168">
        <v>167</v>
      </c>
      <c r="B168" t="s">
        <v>177</v>
      </c>
      <c r="C168" t="s">
        <v>215</v>
      </c>
      <c r="D168">
        <v>3000000</v>
      </c>
      <c r="E168">
        <v>0</v>
      </c>
      <c r="F168">
        <v>2000000</v>
      </c>
      <c r="G168">
        <v>0</v>
      </c>
      <c r="H168" t="s">
        <v>159</v>
      </c>
      <c r="I168" t="s">
        <v>8</v>
      </c>
      <c r="J168" s="1">
        <v>3000000</v>
      </c>
    </row>
    <row r="169" spans="1:10" x14ac:dyDescent="0.3">
      <c r="A169">
        <v>168</v>
      </c>
      <c r="B169" t="s">
        <v>178</v>
      </c>
      <c r="C169" t="s">
        <v>304</v>
      </c>
      <c r="D169">
        <v>20000000</v>
      </c>
      <c r="E169">
        <v>0</v>
      </c>
      <c r="F169">
        <v>0</v>
      </c>
      <c r="G169">
        <v>152500000</v>
      </c>
      <c r="H169" t="s">
        <v>179</v>
      </c>
      <c r="I169" t="s">
        <v>1</v>
      </c>
      <c r="J169" s="1">
        <v>20000000</v>
      </c>
    </row>
    <row r="170" spans="1:10" x14ac:dyDescent="0.3">
      <c r="A170">
        <v>169</v>
      </c>
      <c r="B170" t="s">
        <v>180</v>
      </c>
      <c r="C170" t="s">
        <v>213</v>
      </c>
      <c r="D170">
        <v>20000000</v>
      </c>
      <c r="E170">
        <v>0</v>
      </c>
      <c r="F170">
        <v>0</v>
      </c>
      <c r="G170">
        <v>62500000</v>
      </c>
      <c r="H170" t="s">
        <v>179</v>
      </c>
      <c r="I170" t="s">
        <v>1</v>
      </c>
      <c r="J170" s="1">
        <v>20000000</v>
      </c>
    </row>
    <row r="171" spans="1:10" x14ac:dyDescent="0.3">
      <c r="A171">
        <v>170</v>
      </c>
      <c r="B171" t="s">
        <v>181</v>
      </c>
      <c r="C171" t="s">
        <v>215</v>
      </c>
      <c r="D171">
        <v>20000000</v>
      </c>
      <c r="E171">
        <v>117500000</v>
      </c>
      <c r="F171">
        <v>0</v>
      </c>
      <c r="G171">
        <v>107500000</v>
      </c>
      <c r="H171" t="s">
        <v>179</v>
      </c>
      <c r="I171" t="s">
        <v>1</v>
      </c>
      <c r="J171" s="1">
        <v>20000000</v>
      </c>
    </row>
    <row r="172" spans="1:10" x14ac:dyDescent="0.3">
      <c r="A172">
        <v>171</v>
      </c>
      <c r="B172" t="s">
        <v>182</v>
      </c>
      <c r="C172" t="s">
        <v>413</v>
      </c>
      <c r="D172">
        <v>3000000</v>
      </c>
      <c r="E172">
        <v>0</v>
      </c>
      <c r="F172">
        <v>0</v>
      </c>
      <c r="G172">
        <v>0</v>
      </c>
      <c r="H172" t="s">
        <v>179</v>
      </c>
      <c r="I172" t="s">
        <v>8</v>
      </c>
      <c r="J172" s="1">
        <v>3000000</v>
      </c>
    </row>
    <row r="173" spans="1:10" x14ac:dyDescent="0.3">
      <c r="A173">
        <v>172</v>
      </c>
      <c r="B173" t="s">
        <v>183</v>
      </c>
      <c r="C173" t="s">
        <v>213</v>
      </c>
      <c r="D173">
        <v>10000000</v>
      </c>
      <c r="E173">
        <v>0</v>
      </c>
      <c r="F173">
        <v>0</v>
      </c>
      <c r="G173">
        <v>52500000</v>
      </c>
      <c r="H173" t="s">
        <v>179</v>
      </c>
      <c r="I173" t="s">
        <v>1</v>
      </c>
      <c r="J173" s="1">
        <v>10000000</v>
      </c>
    </row>
    <row r="174" spans="1:10" x14ac:dyDescent="0.3">
      <c r="A174">
        <v>173</v>
      </c>
      <c r="B174" t="s">
        <v>184</v>
      </c>
      <c r="C174" t="s">
        <v>213</v>
      </c>
      <c r="D174">
        <v>20000000</v>
      </c>
      <c r="E174">
        <v>0</v>
      </c>
      <c r="F174">
        <v>15000000</v>
      </c>
      <c r="G174">
        <v>0</v>
      </c>
      <c r="H174" t="s">
        <v>179</v>
      </c>
      <c r="I174" t="s">
        <v>1</v>
      </c>
      <c r="J174" s="1">
        <v>20000000</v>
      </c>
    </row>
    <row r="175" spans="1:10" x14ac:dyDescent="0.3">
      <c r="A175">
        <v>174</v>
      </c>
      <c r="B175" t="s">
        <v>185</v>
      </c>
      <c r="C175" t="s">
        <v>213</v>
      </c>
      <c r="D175">
        <v>3000000</v>
      </c>
      <c r="E175">
        <v>0</v>
      </c>
      <c r="F175">
        <v>0</v>
      </c>
      <c r="G175">
        <v>2000000</v>
      </c>
      <c r="H175" t="s">
        <v>179</v>
      </c>
      <c r="I175" t="s">
        <v>8</v>
      </c>
      <c r="J175" s="1">
        <v>3000000</v>
      </c>
    </row>
    <row r="176" spans="1:10" x14ac:dyDescent="0.3">
      <c r="A176">
        <v>175</v>
      </c>
      <c r="B176" t="s">
        <v>186</v>
      </c>
      <c r="C176" t="s">
        <v>413</v>
      </c>
      <c r="D176">
        <v>3000000</v>
      </c>
      <c r="E176">
        <v>0</v>
      </c>
      <c r="F176">
        <v>0</v>
      </c>
      <c r="G176">
        <v>0</v>
      </c>
      <c r="H176" t="s">
        <v>179</v>
      </c>
      <c r="I176" t="s">
        <v>8</v>
      </c>
      <c r="J176" s="1">
        <v>3000000</v>
      </c>
    </row>
    <row r="177" spans="1:10" x14ac:dyDescent="0.3">
      <c r="A177">
        <v>176</v>
      </c>
      <c r="B177" t="s">
        <v>187</v>
      </c>
      <c r="C177" t="s">
        <v>413</v>
      </c>
      <c r="D177">
        <v>10000000</v>
      </c>
      <c r="E177">
        <v>0</v>
      </c>
      <c r="F177">
        <v>0</v>
      </c>
      <c r="G177">
        <v>0</v>
      </c>
      <c r="H177" t="s">
        <v>179</v>
      </c>
      <c r="I177" t="s">
        <v>1</v>
      </c>
      <c r="J177" s="1">
        <v>10000000</v>
      </c>
    </row>
    <row r="178" spans="1:10" x14ac:dyDescent="0.3">
      <c r="A178">
        <v>177</v>
      </c>
      <c r="B178" t="s">
        <v>188</v>
      </c>
      <c r="C178" t="s">
        <v>213</v>
      </c>
      <c r="D178">
        <v>10000000</v>
      </c>
      <c r="E178">
        <v>16000000</v>
      </c>
      <c r="F178">
        <v>5000000</v>
      </c>
      <c r="G178">
        <v>13000000</v>
      </c>
      <c r="H178" t="s">
        <v>179</v>
      </c>
      <c r="I178" t="s">
        <v>1</v>
      </c>
      <c r="J178" s="1">
        <v>10000000</v>
      </c>
    </row>
    <row r="179" spans="1:10" x14ac:dyDescent="0.3">
      <c r="A179">
        <v>178</v>
      </c>
      <c r="B179" t="s">
        <v>189</v>
      </c>
      <c r="C179" t="s">
        <v>413</v>
      </c>
      <c r="D179">
        <v>7500000</v>
      </c>
      <c r="E179">
        <v>0</v>
      </c>
      <c r="F179">
        <v>0</v>
      </c>
      <c r="G179">
        <v>0</v>
      </c>
      <c r="H179" t="s">
        <v>179</v>
      </c>
      <c r="I179" t="s">
        <v>1</v>
      </c>
      <c r="J179" s="1">
        <v>7500000</v>
      </c>
    </row>
    <row r="180" spans="1:10" x14ac:dyDescent="0.3">
      <c r="A180">
        <v>179</v>
      </c>
      <c r="B180" t="s">
        <v>190</v>
      </c>
      <c r="C180" t="s">
        <v>413</v>
      </c>
      <c r="D180">
        <v>3000000</v>
      </c>
      <c r="E180">
        <v>0</v>
      </c>
      <c r="F180">
        <v>0</v>
      </c>
      <c r="G180">
        <v>0</v>
      </c>
      <c r="H180" t="s">
        <v>179</v>
      </c>
      <c r="I180" t="s">
        <v>8</v>
      </c>
      <c r="J180" s="1">
        <v>3000000</v>
      </c>
    </row>
    <row r="181" spans="1:10" x14ac:dyDescent="0.3">
      <c r="A181">
        <v>180</v>
      </c>
      <c r="B181" t="s">
        <v>191</v>
      </c>
      <c r="C181" t="s">
        <v>413</v>
      </c>
      <c r="D181">
        <v>3000000</v>
      </c>
      <c r="E181">
        <v>0</v>
      </c>
      <c r="F181">
        <v>0</v>
      </c>
      <c r="G181">
        <v>0</v>
      </c>
      <c r="H181" t="s">
        <v>179</v>
      </c>
      <c r="I181" t="s">
        <v>8</v>
      </c>
      <c r="J181" s="1">
        <v>3000000</v>
      </c>
    </row>
    <row r="182" spans="1:10" x14ac:dyDescent="0.3">
      <c r="A182">
        <v>181</v>
      </c>
      <c r="B182" t="s">
        <v>192</v>
      </c>
      <c r="C182" t="s">
        <v>413</v>
      </c>
      <c r="D182">
        <v>3000000</v>
      </c>
      <c r="E182">
        <v>0</v>
      </c>
      <c r="F182">
        <v>0</v>
      </c>
      <c r="G182">
        <v>0</v>
      </c>
      <c r="H182" t="s">
        <v>179</v>
      </c>
      <c r="I182" t="s">
        <v>8</v>
      </c>
      <c r="J182" s="1">
        <v>3000000</v>
      </c>
    </row>
    <row r="183" spans="1:10" x14ac:dyDescent="0.3">
      <c r="A183">
        <v>182</v>
      </c>
      <c r="B183" t="s">
        <v>193</v>
      </c>
      <c r="C183" t="s">
        <v>215</v>
      </c>
      <c r="D183">
        <v>3000000</v>
      </c>
      <c r="E183">
        <v>0</v>
      </c>
      <c r="F183">
        <v>0</v>
      </c>
      <c r="G183">
        <v>2000000</v>
      </c>
      <c r="H183" t="s">
        <v>179</v>
      </c>
      <c r="I183" t="s">
        <v>8</v>
      </c>
      <c r="J183" s="1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master</vt:lpstr>
      <vt:lpstr>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modified xsi:type="dcterms:W3CDTF">2024-11-28T15:31:09Z</dcterms:modified>
</cp:coreProperties>
</file>